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illy/Desktop/DecodingSetUp/CANTranslator/config/"/>
    </mc:Choice>
  </mc:AlternateContent>
  <xr:revisionPtr revIDLastSave="0" documentId="13_ncr:1_{1D8ACFE2-AEFE-8E4A-9C88-55EEC8B5F964}" xr6:coauthVersionLast="47" xr6:coauthVersionMax="47" xr10:uidLastSave="{00000000-0000-0000-0000-000000000000}"/>
  <bookViews>
    <workbookView xWindow="0" yWindow="760" windowWidth="30240" windowHeight="17760" xr2:uid="{26B1AE09-9001-5E40-B3F1-E0A864A81904}"/>
  </bookViews>
  <sheets>
    <sheet name="CAN Data" sheetId="1" r:id="rId1"/>
    <sheet name="DataTypes" sheetId="5" r:id="rId2"/>
    <sheet name="Data Types" sheetId="3" r:id="rId3"/>
    <sheet name="Info" sheetId="4" r:id="rId4"/>
  </sheets>
  <functionGroups builtInGroupCount="19"/>
  <definedNames>
    <definedName name="_xlnm._FilterDatabase" localSheetId="0" hidden="1">'CAN Data'!$A$1:$U$36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" i="5" l="1"/>
</calcChain>
</file>

<file path=xl/sharedStrings.xml><?xml version="1.0" encoding="utf-8"?>
<sst xmlns="http://schemas.openxmlformats.org/spreadsheetml/2006/main" count="1114" uniqueCount="463">
  <si>
    <t>CAN_ID</t>
  </si>
  <si>
    <t>DLC</t>
  </si>
  <si>
    <t>BYTE_0</t>
  </si>
  <si>
    <t>BYTE_1</t>
  </si>
  <si>
    <t>BYTE_2</t>
  </si>
  <si>
    <t>BYTE_3</t>
  </si>
  <si>
    <t>BYTE_4</t>
  </si>
  <si>
    <t>BYTE_5</t>
  </si>
  <si>
    <t>BYTE_6</t>
  </si>
  <si>
    <t>BYTE_7</t>
  </si>
  <si>
    <t>Item</t>
  </si>
  <si>
    <t>Source</t>
  </si>
  <si>
    <t>Active/Confirmed</t>
  </si>
  <si>
    <t>driver_controls</t>
  </si>
  <si>
    <t>Tritium</t>
  </si>
  <si>
    <t>0x0F6</t>
  </si>
  <si>
    <t>GPS.hour</t>
  </si>
  <si>
    <t>GPS.minute</t>
  </si>
  <si>
    <t>GPS.seconds</t>
  </si>
  <si>
    <t>GPS.milliseconds</t>
  </si>
  <si>
    <t>GPS.day</t>
  </si>
  <si>
    <t>GPS.month</t>
  </si>
  <si>
    <t>GPS.year</t>
  </si>
  <si>
    <t>GPS.fix</t>
  </si>
  <si>
    <t>0x700</t>
  </si>
  <si>
    <t>0x701</t>
  </si>
  <si>
    <t>Pack SOC</t>
  </si>
  <si>
    <t>IN USE</t>
  </si>
  <si>
    <t>Pack Current</t>
  </si>
  <si>
    <t>Pack DCL</t>
  </si>
  <si>
    <t>Pack Inst. Voltage</t>
  </si>
  <si>
    <t>-</t>
  </si>
  <si>
    <t>Relay State</t>
  </si>
  <si>
    <t>Period (s)</t>
  </si>
  <si>
    <t>cell temps, discharge &amp; chage current limit</t>
  </si>
  <si>
    <t>N</t>
  </si>
  <si>
    <t>Y</t>
  </si>
  <si>
    <t>Telemetry</t>
  </si>
  <si>
    <t>P</t>
  </si>
  <si>
    <t>freq</t>
  </si>
  <si>
    <t>rate (byte/s)</t>
  </si>
  <si>
    <t>0x603</t>
  </si>
  <si>
    <t>0x501</t>
  </si>
  <si>
    <t>0x502</t>
  </si>
  <si>
    <t>speed_val, curr_val</t>
  </si>
  <si>
    <t>0, maxBusCurrent</t>
  </si>
  <si>
    <t>0x600</t>
  </si>
  <si>
    <t>0x601</t>
  </si>
  <si>
    <t>0x602</t>
  </si>
  <si>
    <t>0x604</t>
  </si>
  <si>
    <t>0x605</t>
  </si>
  <si>
    <t>0x606</t>
  </si>
  <si>
    <t>0x607</t>
  </si>
  <si>
    <t>0x608</t>
  </si>
  <si>
    <t>0x609</t>
  </si>
  <si>
    <t>0x60A</t>
  </si>
  <si>
    <t>0x60B</t>
  </si>
  <si>
    <t>0x60C</t>
  </si>
  <si>
    <t>0x60D</t>
  </si>
  <si>
    <t>0x60E</t>
  </si>
  <si>
    <t>Identification Info</t>
  </si>
  <si>
    <t>Staus Information</t>
  </si>
  <si>
    <t>Phase Current</t>
  </si>
  <si>
    <t>Motor Voltage Vector</t>
  </si>
  <si>
    <t>Motor Current Vector</t>
  </si>
  <si>
    <t>Motor BackEMF Vector</t>
  </si>
  <si>
    <t>Sink &amp; Motor Temperature</t>
  </si>
  <si>
    <t>Odo. &amp; Bus AmpHours</t>
  </si>
  <si>
    <t>busCurrent</t>
  </si>
  <si>
    <t>busVoltage</t>
  </si>
  <si>
    <t>vehicleVelocity</t>
  </si>
  <si>
    <t>motorVelocity</t>
  </si>
  <si>
    <t>phaseACurrent</t>
  </si>
  <si>
    <t>phaseBCurrent</t>
  </si>
  <si>
    <t>vectVoltReal</t>
  </si>
  <si>
    <t>vectVoltImag</t>
  </si>
  <si>
    <t>vectCurrReal</t>
  </si>
  <si>
    <t>vectCurrImag</t>
  </si>
  <si>
    <t>backEMFReal</t>
  </si>
  <si>
    <t>backEMFImag</t>
  </si>
  <si>
    <t>fifteenVsupply</t>
  </si>
  <si>
    <t>onesixfiveVsupply</t>
  </si>
  <si>
    <t>twofiveVsupply</t>
  </si>
  <si>
    <t>onetwoVsupply</t>
  </si>
  <si>
    <t>fanSpeed</t>
  </si>
  <si>
    <t>fanDrive</t>
  </si>
  <si>
    <t>heatSinkTemp</t>
  </si>
  <si>
    <t>motorTemp</t>
  </si>
  <si>
    <t>airInletTemp</t>
  </si>
  <si>
    <t>processorTemp</t>
  </si>
  <si>
    <t>airOutletTemp</t>
  </si>
  <si>
    <t>capacitorTemp</t>
  </si>
  <si>
    <t>DCBusAmpHours</t>
  </si>
  <si>
    <t>Odometer</t>
  </si>
  <si>
    <t>seriaNo</t>
  </si>
  <si>
    <t>activeMotor</t>
  </si>
  <si>
    <t>data type</t>
  </si>
  <si>
    <t>uint8_t</t>
  </si>
  <si>
    <t>Name</t>
  </si>
  <si>
    <t>Type</t>
  </si>
  <si>
    <t>Size (bytes)</t>
  </si>
  <si>
    <t>uint16_t</t>
  </si>
  <si>
    <t>nmea_float_t</t>
  </si>
  <si>
    <t>char</t>
  </si>
  <si>
    <t>bool</t>
  </si>
  <si>
    <r>
      <t>#</t>
    </r>
    <r>
      <rPr>
        <sz val="12"/>
        <color rgb="FFD73A49"/>
        <rFont val="Consolas"/>
        <family val="2"/>
      </rPr>
      <t>ifndef</t>
    </r>
    <r>
      <rPr>
        <sz val="12"/>
        <color rgb="FF24292E"/>
        <rFont val="Consolas"/>
        <family val="2"/>
      </rPr>
      <t xml:space="preserve"> NMEA_FLOAT_T</t>
    </r>
  </si>
  <si>
    <r>
      <t>#</t>
    </r>
    <r>
      <rPr>
        <sz val="12"/>
        <color rgb="FFD73A49"/>
        <rFont val="Consolas"/>
        <family val="2"/>
      </rPr>
      <t>define</t>
    </r>
    <r>
      <rPr>
        <sz val="12"/>
        <color rgb="FF24292E"/>
        <rFont val="Consolas"/>
        <family val="2"/>
      </rPr>
      <t xml:space="preserve"> </t>
    </r>
    <r>
      <rPr>
        <sz val="12"/>
        <color rgb="FF6F42C1"/>
        <rFont val="Consolas"/>
        <family val="2"/>
      </rPr>
      <t>NMEA_FLOAT_T</t>
    </r>
    <r>
      <rPr>
        <sz val="12"/>
        <color rgb="FF24292E"/>
        <rFont val="Consolas"/>
        <family val="2"/>
      </rPr>
      <t xml:space="preserve"> </t>
    </r>
    <r>
      <rPr>
        <sz val="12"/>
        <color rgb="FFD73A49"/>
        <rFont val="Consolas"/>
        <family val="2"/>
      </rPr>
      <t>float</t>
    </r>
    <r>
      <rPr>
        <sz val="12"/>
        <color rgb="FF24292E"/>
        <rFont val="Consolas"/>
        <family val="2"/>
      </rPr>
      <t xml:space="preserve"> </t>
    </r>
    <r>
      <rPr>
        <sz val="12"/>
        <color rgb="FF6A737D"/>
        <rFont val="Consolas"/>
        <family val="2"/>
      </rPr>
      <t>///&lt; let float be overidden on command line</t>
    </r>
  </si>
  <si>
    <r>
      <t>#</t>
    </r>
    <r>
      <rPr>
        <sz val="12"/>
        <color rgb="FFD73A49"/>
        <rFont val="Consolas"/>
        <family val="2"/>
      </rPr>
      <t>endif</t>
    </r>
  </si>
  <si>
    <r>
      <t>typedef</t>
    </r>
    <r>
      <rPr>
        <sz val="12"/>
        <color rgb="FF24292E"/>
        <rFont val="Consolas"/>
        <family val="2"/>
      </rPr>
      <t xml:space="preserve"> NMEA_FLOAT_T</t>
    </r>
  </si>
  <si>
    <r>
      <t>nmea_float_t</t>
    </r>
    <r>
      <rPr>
        <sz val="12"/>
        <color rgb="FF24292E"/>
        <rFont val="Consolas"/>
        <family val="2"/>
      </rPr>
      <t xml:space="preserve">; </t>
    </r>
    <r>
      <rPr>
        <sz val="12"/>
        <color rgb="FF6A737D"/>
        <rFont val="Consolas"/>
        <family val="2"/>
      </rPr>
      <t>///&lt; the type of variables to use for floating point</t>
    </r>
  </si>
  <si>
    <t>(from NMEA_data.h)</t>
  </si>
  <si>
    <t>doubles and floats are identical on AVR processors like the UNO where space</t>
  </si>
  <si>
    <t>is tight. doubles avoid the roundoff errors that led to the fixed point mods</t>
  </si>
  <si>
    <t>in https://github.com/adafruit/Adafruit-GPS-Library/pull/13, provided the</t>
  </si>
  <si>
    <t>processor supports actual doubles like the SAMD series with more storage. The</t>
  </si>
  <si>
    <t>total penalty for going all double is under a few hundred bytes / instance or</t>
  </si>
  <si>
    <t>0 bytes / instance on an UNO. This typedef allows a switch to lower precision</t>
  </si>
  <si>
    <t>to save some storage if needed. A float carries 23 bits of fractional</t>
  </si>
  <si>
    <t>resolution, giving a resolution of at least 9 significant digits, thus 6</t>
  </si>
  <si>
    <t>significant digits in the decimal place of an angular value like latitude, and</t>
  </si>
  <si>
    <t>thus a resolution on earth of at least 110 mm. That's closer than GPS will</t>
  </si>
  <si>
    <t>hit, and closer than needed for navigation, so floats can be used to save a</t>
  </si>
  <si>
    <t>little storage.</t>
  </si>
  <si>
    <t>Message</t>
  </si>
  <si>
    <t>A</t>
  </si>
  <si>
    <t>B</t>
  </si>
  <si>
    <t>C</t>
  </si>
  <si>
    <t>D</t>
  </si>
  <si>
    <t>E</t>
  </si>
  <si>
    <t>Using?</t>
  </si>
  <si>
    <t>a</t>
  </si>
  <si>
    <t>b</t>
  </si>
  <si>
    <t>c</t>
  </si>
  <si>
    <t>d</t>
  </si>
  <si>
    <t>float32</t>
  </si>
  <si>
    <t>telem</t>
  </si>
  <si>
    <t>GPS.latitude</t>
  </si>
  <si>
    <t>GPS.lat</t>
  </si>
  <si>
    <t>GPS.longitude</t>
  </si>
  <si>
    <t>GPS.lon</t>
  </si>
  <si>
    <t>GPS.fixquality</t>
  </si>
  <si>
    <t>GPS.speed</t>
  </si>
  <si>
    <t>GPS.angle</t>
  </si>
  <si>
    <t>GPS.altitude</t>
  </si>
  <si>
    <t>GPS.satellites</t>
  </si>
  <si>
    <t>tritium</t>
  </si>
  <si>
    <t>statusInfo1?</t>
  </si>
  <si>
    <t>statusInfo2?</t>
  </si>
  <si>
    <t>char[4]</t>
  </si>
  <si>
    <t>statusInfo3?</t>
  </si>
  <si>
    <t>u_int16</t>
  </si>
  <si>
    <t>u_int32</t>
  </si>
  <si>
    <t>CAN_ID (dec)</t>
  </si>
  <si>
    <t>0x111</t>
  </si>
  <si>
    <t>System status messages</t>
  </si>
  <si>
    <t>Testbed</t>
  </si>
  <si>
    <t>Temp deg C</t>
  </si>
  <si>
    <t>Humidity</t>
  </si>
  <si>
    <t>LDR reading</t>
  </si>
  <si>
    <t>Heat index deg C</t>
  </si>
  <si>
    <t>0x1B1</t>
  </si>
  <si>
    <t>0x1B2</t>
  </si>
  <si>
    <t>0x711</t>
  </si>
  <si>
    <t>0x712</t>
  </si>
  <si>
    <t>Tritium ID</t>
  </si>
  <si>
    <t>Reserved</t>
  </si>
  <si>
    <t>Active Motor</t>
  </si>
  <si>
    <t>Error Flags</t>
  </si>
  <si>
    <t>Limit Flags</t>
  </si>
  <si>
    <t>Serial Number</t>
  </si>
  <si>
    <t>Bus Measurement</t>
  </si>
  <si>
    <t>MPPT poll javed</t>
  </si>
  <si>
    <t>MPPT poll woof</t>
  </si>
  <si>
    <t>0x771</t>
  </si>
  <si>
    <t>0x772</t>
  </si>
  <si>
    <t>Driver Set Speed</t>
  </si>
  <si>
    <t>Driver Set Current</t>
  </si>
  <si>
    <t>Power</t>
  </si>
  <si>
    <t>Writing to SD</t>
  </si>
  <si>
    <t>GPS Time Obtained</t>
  </si>
  <si>
    <t>Loaded Config</t>
  </si>
  <si>
    <t>Flag</t>
  </si>
  <si>
    <t>ok = 0xFF, not ok = 0x0A</t>
  </si>
  <si>
    <t>NOTE: devices should use little endian. Checked tritium does (in doc 18.1.4 https://tritiumcharging.com/wp-content/uploads/2020/11/TritiumWaveSculptor22_Manual.pdf)</t>
  </si>
  <si>
    <t>Testbed enviroCAN.ino1</t>
  </si>
  <si>
    <t>Testbed enviroCAN.ino2</t>
  </si>
  <si>
    <t>Source and name were same for 2 records and were causing errors</t>
  </si>
  <si>
    <t>Version Check</t>
  </si>
  <si>
    <t>System status</t>
  </si>
  <si>
    <t>Driver Controls</t>
  </si>
  <si>
    <t>System status?</t>
  </si>
  <si>
    <t>0x500</t>
  </si>
  <si>
    <t>0x110</t>
  </si>
  <si>
    <t>Suggested format for custom CAN code</t>
  </si>
  <si>
    <t>Identification info</t>
  </si>
  <si>
    <t>0x0F7</t>
  </si>
  <si>
    <t>0x0F8</t>
  </si>
  <si>
    <t>0x0F9</t>
  </si>
  <si>
    <t>Time and fix</t>
  </si>
  <si>
    <t>Speed and Angle</t>
  </si>
  <si>
    <t>Latitude</t>
  </si>
  <si>
    <t>Longitude</t>
  </si>
  <si>
    <t>0x0FA</t>
  </si>
  <si>
    <t>Altitude and Satellites</t>
  </si>
  <si>
    <t>GPS_speed</t>
  </si>
  <si>
    <t>GPS_minute</t>
  </si>
  <si>
    <t>GPS_seconds</t>
  </si>
  <si>
    <t>GPS_day</t>
  </si>
  <si>
    <t>GPS_month</t>
  </si>
  <si>
    <t>GPS_year</t>
  </si>
  <si>
    <t>GPS_fix</t>
  </si>
  <si>
    <t>GPS_fixquality</t>
  </si>
  <si>
    <t>GPS_hour</t>
  </si>
  <si>
    <t>GPS_angle</t>
  </si>
  <si>
    <t>GPS_latitude</t>
  </si>
  <si>
    <t>GPS_longitude</t>
  </si>
  <si>
    <t>GPS_lat</t>
  </si>
  <si>
    <t>GPS_lon</t>
  </si>
  <si>
    <t>GPS_altitude</t>
  </si>
  <si>
    <t>GPS_satellites</t>
  </si>
  <si>
    <t>END</t>
  </si>
  <si>
    <t>2*float</t>
  </si>
  <si>
    <t>2*float just placeholder type for testing. Needs to be changed</t>
  </si>
  <si>
    <t>float, char</t>
  </si>
  <si>
    <t>float, int32</t>
  </si>
  <si>
    <t>4*bit &amp; 2*bit &amp; 2*bit &amp; u_int8_t</t>
  </si>
  <si>
    <t>&lt;- Needed to tell translator where final row is</t>
  </si>
  <si>
    <t>spare1</t>
  </si>
  <si>
    <t>spare2</t>
  </si>
  <si>
    <t>spare3</t>
  </si>
  <si>
    <t>struct unpack code</t>
  </si>
  <si>
    <t>float</t>
  </si>
  <si>
    <t>uint8</t>
  </si>
  <si>
    <t>c type</t>
  </si>
  <si>
    <t>struct unpack</t>
  </si>
  <si>
    <t>size (bytes)</t>
  </si>
  <si>
    <t>uint16</t>
  </si>
  <si>
    <t>c struct</t>
  </si>
  <si>
    <t>8*uint8</t>
  </si>
  <si>
    <t>float, uint8</t>
  </si>
  <si>
    <t>int32</t>
  </si>
  <si>
    <t>int32_t</t>
  </si>
  <si>
    <t>uint32</t>
  </si>
  <si>
    <t>uint32_t</t>
  </si>
  <si>
    <t>int8</t>
  </si>
  <si>
    <t>int8_t</t>
  </si>
  <si>
    <t>int16</t>
  </si>
  <si>
    <t>int16_t</t>
  </si>
  <si>
    <t>f</t>
  </si>
  <si>
    <t>i</t>
  </si>
  <si>
    <t>h</t>
  </si>
  <si>
    <t>H</t>
  </si>
  <si>
    <t>I</t>
  </si>
  <si>
    <t>uint32, uint32</t>
  </si>
  <si>
    <t>NOTE: structure for "0, maxBusCurrent" was uint32, char[4]</t>
  </si>
  <si>
    <t>Labels to be used in code</t>
  </si>
  <si>
    <t>Velocity</t>
  </si>
  <si>
    <t>Bus Current</t>
  </si>
  <si>
    <t>Vehicle Velocity</t>
  </si>
  <si>
    <t>Vect Volt Real</t>
  </si>
  <si>
    <t>Vect Curr Real</t>
  </si>
  <si>
    <t>Fifteen V Supply</t>
  </si>
  <si>
    <t>Heat Sink Temp</t>
  </si>
  <si>
    <t>DC Bus Amp Hours</t>
  </si>
  <si>
    <t>Motor Temp</t>
  </si>
  <si>
    <t>Vect Curr Imag</t>
  </si>
  <si>
    <t>Vect Volt Imag</t>
  </si>
  <si>
    <t>Phase B Current</t>
  </si>
  <si>
    <t>Motor Velocity</t>
  </si>
  <si>
    <t>Bus Voltage</t>
  </si>
  <si>
    <t>Max Bus Current</t>
  </si>
  <si>
    <t>Zero</t>
  </si>
  <si>
    <t>ItemCC</t>
  </si>
  <si>
    <t>SourceCC</t>
  </si>
  <si>
    <t>BYTE_0CC</t>
  </si>
  <si>
    <t>BYTE_1CC</t>
  </si>
  <si>
    <t>BYTE_2CC</t>
  </si>
  <si>
    <t>BYTE_3CC</t>
  </si>
  <si>
    <t>BYTE_4CC</t>
  </si>
  <si>
    <t>BYTE_5CC</t>
  </si>
  <si>
    <t>BYTE_6CC</t>
  </si>
  <si>
    <t>BYTE_7CC</t>
  </si>
  <si>
    <t>Orion</t>
  </si>
  <si>
    <t>High Temperature Sensor</t>
  </si>
  <si>
    <t>Low Temperature Sensors</t>
  </si>
  <si>
    <t>Transmit error count</t>
  </si>
  <si>
    <t>Receive error count</t>
  </si>
  <si>
    <t>3*uint16, 2*uint8</t>
  </si>
  <si>
    <t>Velocity (rpm+m/s)</t>
  </si>
  <si>
    <t>Phase C Current</t>
  </si>
  <si>
    <t>Peak Back EMF phase to neutral</t>
  </si>
  <si>
    <t xml:space="preserve">Back EMF d </t>
  </si>
  <si>
    <t>15 Volt. Rail</t>
  </si>
  <si>
    <t>Rail_15V</t>
  </si>
  <si>
    <t>3.3 &amp; 1.9 Volt. Rail</t>
  </si>
  <si>
    <t>One Nine V Supply</t>
  </si>
  <si>
    <t>Three Three V Supply</t>
  </si>
  <si>
    <t>Rail_3_3VAnd1_9V</t>
  </si>
  <si>
    <t>DSP Board Temperature</t>
  </si>
  <si>
    <t>DSP Board Temp</t>
  </si>
  <si>
    <t>Slip Speed Measurement</t>
  </si>
  <si>
    <t>0x617</t>
  </si>
  <si>
    <t>Slip Speed</t>
  </si>
  <si>
    <t>2*uint16,uint8,uint16</t>
  </si>
  <si>
    <t>Unknown</t>
  </si>
  <si>
    <t>&gt;HHBH</t>
  </si>
  <si>
    <t>Blank</t>
  </si>
  <si>
    <t>2*int16,3*int8</t>
  </si>
  <si>
    <t>&gt;hhbbb</t>
  </si>
  <si>
    <t>0x702</t>
  </si>
  <si>
    <t>MSB Current In</t>
  </si>
  <si>
    <t>Flags and MSB Voltage In</t>
  </si>
  <si>
    <t>LSB Voltage In</t>
  </si>
  <si>
    <t>LSB Current In</t>
  </si>
  <si>
    <t>MSB Voltage Out</t>
  </si>
  <si>
    <t>LSB Voltage Out</t>
  </si>
  <si>
    <t>Ambient Temperature</t>
  </si>
  <si>
    <t>7*uint8</t>
  </si>
  <si>
    <t>(ignore this)</t>
  </si>
  <si>
    <t>Javed</t>
  </si>
  <si>
    <t>Woof</t>
  </si>
  <si>
    <t>MPPT</t>
  </si>
  <si>
    <t>&lt;BBBBBBBB</t>
  </si>
  <si>
    <t>struct canData {_x000D_
	uint8_t GpsHour;_x000D_
	uint8_t GpsMinute;_x000D_
	uint8_t GpsSeconds;_x000D_
	uint8_t GpsDay;_x000D_
	uint8_t GpsMonth;_x000D_
	uint8_t GpsYear;_x000D_
	uint8_t GpsFix;_x000D_
	uint8_t GpsFixquality;_x000D_
}</t>
  </si>
  <si>
    <t>TimeAndFix</t>
  </si>
  <si>
    <t>GpsHour</t>
  </si>
  <si>
    <t>GpsMinute</t>
  </si>
  <si>
    <t>GpsSeconds</t>
  </si>
  <si>
    <t>GpsDay</t>
  </si>
  <si>
    <t>GpsMonth</t>
  </si>
  <si>
    <t>GpsYear</t>
  </si>
  <si>
    <t>GpsFix</t>
  </si>
  <si>
    <t>GpsFixquality</t>
  </si>
  <si>
    <t>&lt;ff</t>
  </si>
  <si>
    <t>struct canData {_x000D_
	float GpsSpeed;_x000D_
	float GpsAngle;_x000D_
}</t>
  </si>
  <si>
    <t>SpeedAndAngle</t>
  </si>
  <si>
    <t>GpsSpeed</t>
  </si>
  <si>
    <t>GpsAngle</t>
  </si>
  <si>
    <t>&lt;fc</t>
  </si>
  <si>
    <t>struct canData {_x000D_
	float GpsLatitude;_x000D_
	char GpsLat;_x000D_
}</t>
  </si>
  <si>
    <t>GpsLatitude</t>
  </si>
  <si>
    <t>GpsLat</t>
  </si>
  <si>
    <t>struct canData {_x000D_
	float GpsLongitude;_x000D_
	char GpsLon;_x000D_
}</t>
  </si>
  <si>
    <t>GpsLongitude</t>
  </si>
  <si>
    <t>GpsLon</t>
  </si>
  <si>
    <t>&lt;fB</t>
  </si>
  <si>
    <t>struct canData {_x000D_
	float GpsAltitude;_x000D_
	uint8_t GpsSatellites;_x000D_
}</t>
  </si>
  <si>
    <t>AltitudeAndSatellites</t>
  </si>
  <si>
    <t>GpsAltitude</t>
  </si>
  <si>
    <t>GpsSatellites</t>
  </si>
  <si>
    <t>struct canData {_x000D_
	uint8_t Power;_x000D_
	uint8_t WritingToSd;_x000D_
	uint8_t GpsTimeObtained;_x000D_
	uint8_t LoadedConfig;_x000D_
	uint8_t Flag;_x000D_
	uint8_t Spare1;_x000D_
	uint8_t Spare2;_x000D_
	uint8_t Spare3;_x000D_
}</t>
  </si>
  <si>
    <t>SystemStatusMessages</t>
  </si>
  <si>
    <t>WritingToSd</t>
  </si>
  <si>
    <t>GpsTimeObtained</t>
  </si>
  <si>
    <t>LoadedConfig</t>
  </si>
  <si>
    <t>Spare1</t>
  </si>
  <si>
    <t>Spare2</t>
  </si>
  <si>
    <t>Spare3</t>
  </si>
  <si>
    <t/>
  </si>
  <si>
    <t>struct canData {_x000D_
	float TempDegC;_x000D_
	float Humidity;_x000D_
}</t>
  </si>
  <si>
    <t>TestbedEnvirocanIno</t>
  </si>
  <si>
    <t>TempDegC</t>
  </si>
  <si>
    <t>&lt;fi</t>
  </si>
  <si>
    <t>struct canData {_x000D_
	float HeatIndexDegC;_x000D_
	int32_t LdrReading;_x000D_
}</t>
  </si>
  <si>
    <t>HeatIndexDegC</t>
  </si>
  <si>
    <t>LdrReading</t>
  </si>
  <si>
    <t>struct canData {_x000D_
	float DriverSetSpeed;_x000D_
	float DriverSetCurrent;_x000D_
}</t>
  </si>
  <si>
    <t>SpeedValCurrVal</t>
  </si>
  <si>
    <t>DriverControls</t>
  </si>
  <si>
    <t>DriverSetSpeed</t>
  </si>
  <si>
    <t>DriverSetCurrent</t>
  </si>
  <si>
    <t>struct canData {_x000D_
	float Zero;_x000D_
	float MaxBusCurrent;_x000D_
}</t>
  </si>
  <si>
    <t>Maxbuscurrent</t>
  </si>
  <si>
    <t>MaxBusCurrent</t>
  </si>
  <si>
    <t>&lt;II</t>
  </si>
  <si>
    <t>struct canData {_x000D_
	uint32_t TritiumId;_x000D_
	uint32_t SerialNumber;_x000D_
}</t>
  </si>
  <si>
    <t>IdentificationInfo</t>
  </si>
  <si>
    <t>TritiumId</t>
  </si>
  <si>
    <t>SerialNumber</t>
  </si>
  <si>
    <t>&lt;HHHBB</t>
  </si>
  <si>
    <t>struct canData {_x000D_
	uint16_t LimitFlags;_x000D_
	uint16_t ErrorFlags;_x000D_
	uint16_t ActiveMotor;_x000D_
	uint8_t TransmitErrorCount;_x000D_
	uint8_t ReceiveErrorCount;_x000D_
}</t>
  </si>
  <si>
    <t>StausInformation</t>
  </si>
  <si>
    <t>LimitFlags</t>
  </si>
  <si>
    <t>ErrorFlags</t>
  </si>
  <si>
    <t>ActiveMotor</t>
  </si>
  <si>
    <t>TransmitErrorCount</t>
  </si>
  <si>
    <t>ReceiveErrorCount</t>
  </si>
  <si>
    <t>struct canData {_x000D_
	float BusVoltage;_x000D_
	float BusCurrent;_x000D_
}</t>
  </si>
  <si>
    <t>BusMeasurement</t>
  </si>
  <si>
    <t>BusVoltage</t>
  </si>
  <si>
    <t>BusCurrent</t>
  </si>
  <si>
    <t>struct canData {_x000D_
	float MotorVelocity;_x000D_
	float VehicleVelocity;_x000D_
}</t>
  </si>
  <si>
    <t>MotorVelocity</t>
  </si>
  <si>
    <t>VehicleVelocity</t>
  </si>
  <si>
    <t>struct canData {_x000D_
	float PhaseBCurrent;_x000D_
	float PhaseCCurrent;_x000D_
}</t>
  </si>
  <si>
    <t>PhaseCurrent</t>
  </si>
  <si>
    <t>PhaseBCurrent</t>
  </si>
  <si>
    <t>PhaseCCurrent</t>
  </si>
  <si>
    <t>struct canData {_x000D_
	float VectVoltImag;_x000D_
	float VectVoltReal;_x000D_
}</t>
  </si>
  <si>
    <t>MotorVoltageVector</t>
  </si>
  <si>
    <t>VectVoltImag</t>
  </si>
  <si>
    <t>VectVoltReal</t>
  </si>
  <si>
    <t>struct canData {_x000D_
	float VectCurrImag;_x000D_
	float VectCurrReal;_x000D_
}</t>
  </si>
  <si>
    <t>MotorCurrentVector</t>
  </si>
  <si>
    <t>VectCurrImag</t>
  </si>
  <si>
    <t>VectCurrReal</t>
  </si>
  <si>
    <t>struct canData {_x000D_
	float PeakBackEmfPhaseToNeutral;_x000D_
	float BackEmfD;_x000D_
}</t>
  </si>
  <si>
    <t>MotorBackemfVector</t>
  </si>
  <si>
    <t>PeakBackEmfPhaseToNeutral</t>
  </si>
  <si>
    <t>BackEmfD</t>
  </si>
  <si>
    <t>struct canData {_x000D_
	float Reserved;_x000D_
	float FifteenVSupply;_x000D_
}</t>
  </si>
  <si>
    <t>FifteenVSupply</t>
  </si>
  <si>
    <t>struct canData {_x000D_
	float OneNineVSupply;_x000D_
	float ThreeThreeVSupply;_x000D_
}</t>
  </si>
  <si>
    <t>OneNineVSupply</t>
  </si>
  <si>
    <t>ThreeThreeVSupply</t>
  </si>
  <si>
    <t>struct canData {_x000D_
	float Reserved;_x000D_
	float Reserved;_x000D_
}</t>
  </si>
  <si>
    <t>struct canData {_x000D_
	float MotorTemp;_x000D_
	float HeatSinkTemp;_x000D_
}</t>
  </si>
  <si>
    <t>SinkMotorTemperature</t>
  </si>
  <si>
    <t>MotorTemp</t>
  </si>
  <si>
    <t>HeatSinkTemp</t>
  </si>
  <si>
    <t>struct canData {_x000D_
	float DspBoardTemp;_x000D_
	float Reserved;_x000D_
}</t>
  </si>
  <si>
    <t>DspBoardTemperature</t>
  </si>
  <si>
    <t>DspBoardTemp</t>
  </si>
  <si>
    <t>struct canData {_x000D_
	float Odometer;_x000D_
	float DcBusAmpHours;_x000D_
}</t>
  </si>
  <si>
    <t>OdoBusAmphours</t>
  </si>
  <si>
    <t>DcBusAmpHours</t>
  </si>
  <si>
    <t>struct canData {_x000D_
	float Reserved;_x000D_
	float SlipSpeed;_x000D_
}</t>
  </si>
  <si>
    <t>SlipSpeedMeasurement</t>
  </si>
  <si>
    <t>SlipSpeed</t>
  </si>
  <si>
    <t>struct canData {_x000D_
	uint16_t PackCurrent;_x000D_
	uint16_t PackInstVoltage;_x000D_
	uint8_t PackSoc;_x000D_
	uint16_t RelayState;_x000D_
}</t>
  </si>
  <si>
    <t>CellVoltages</t>
  </si>
  <si>
    <t>PackCurrent</t>
  </si>
  <si>
    <t>PackInstVoltage</t>
  </si>
  <si>
    <t>PackSoc</t>
  </si>
  <si>
    <t>RelayState</t>
  </si>
  <si>
    <t>struct canData {_x000D_
	int16_t PackDcl;_x000D_
	int16_t Unknown;_x000D_
	int8_t HighTemperatureSensor;_x000D_
	int8_t LowTemperatureSensors;_x000D_
	int8_t Blank;_x000D_
}</t>
  </si>
  <si>
    <t>CellTempsDischargeChageCurrentLimit</t>
  </si>
  <si>
    <t>PackDcl</t>
  </si>
  <si>
    <t>HighTemperatureSensor</t>
  </si>
  <si>
    <t>LowTemperatureSensors</t>
  </si>
  <si>
    <t>&lt;b</t>
  </si>
  <si>
    <t>struct canData {_x000D_
	int8_t Blank;_x000D_
}</t>
  </si>
  <si>
    <t>MpptPollJaved</t>
  </si>
  <si>
    <t>MpptPollWoof</t>
  </si>
  <si>
    <t>&lt;BBBBBBB</t>
  </si>
  <si>
    <t>struct canData {_x000D_
	uint8_t FlagsAndMsbVoltageIn;_x000D_
	uint8_t LsbVoltageIn;_x000D_
	uint8_t MsbCurrentIn;_x000D_
	uint8_t LsbCurrentIn;_x000D_
	uint8_t MsbVoltageOut;_x000D_
	uint8_t LsbVoltageOut;_x000D_
	uint8_t AmbientTemperature;_x000D_
}</t>
  </si>
  <si>
    <t>Mppt</t>
  </si>
  <si>
    <t>FlagsAndMsbVoltageIn</t>
  </si>
  <si>
    <t>LsbVoltageIn</t>
  </si>
  <si>
    <t>MsbCurrentIn</t>
  </si>
  <si>
    <t>LsbCurrentIn</t>
  </si>
  <si>
    <t>MsbVoltageOut</t>
  </si>
  <si>
    <t>LsbVoltageOut</t>
  </si>
  <si>
    <t>AmbientTemperature</t>
  </si>
  <si>
    <t>LowCellVoltage</t>
  </si>
  <si>
    <t>HighCellVoltage</t>
  </si>
  <si>
    <t>InternalTemperature</t>
  </si>
  <si>
    <t>2*uint16,3*uint8</t>
  </si>
  <si>
    <t>&gt;HHBBB</t>
  </si>
  <si>
    <t>struct canData {
	uint16_t LowCellVoltage;
	uint16_t HighCellVoltage;
	uint8_t InternalTemperature;
	uint8_t Blank;
	uint8_t Blank;
}</t>
  </si>
  <si>
    <t>packparameters</t>
  </si>
  <si>
    <t>cellvoltages</t>
  </si>
  <si>
    <t>PackParameters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</si>
</sst>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5CC5"/>
      <name val="Consolas"/>
      <family val="2"/>
    </font>
    <font>
      <sz val="12"/>
      <color rgb="FF6A737D"/>
      <name val="Consolas"/>
      <family val="2"/>
    </font>
    <font>
      <sz val="12"/>
      <color rgb="FF032F62"/>
      <name val="Consolas"/>
      <family val="2"/>
    </font>
    <font>
      <sz val="12"/>
      <color rgb="FF24292E"/>
      <name val="Consolas"/>
      <family val="2"/>
    </font>
    <font>
      <sz val="12"/>
      <color rgb="FFD73A49"/>
      <name val="Consolas"/>
      <family val="2"/>
    </font>
    <font>
      <sz val="12"/>
      <color rgb="FF6F42C1"/>
      <name val="Consolas"/>
      <family val="2"/>
    </font>
    <font>
      <sz val="11"/>
      <color rgb="FF9C0006"/>
      <name val="Calibri"/>
      <family val="2"/>
      <scheme val="minor"/>
    </font>
    <font>
      <sz val="12"/>
      <name val="Consolas"/>
      <family val="3"/>
    </font>
    <font>
      <sz val="12"/>
      <color theme="1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9" fillId="2" borderId="0" applyNumberFormat="0" applyBorder="0" applyAlignment="0" applyProtection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1" fillId="0" borderId="0" xfId="0" applyFont="1"/>
    <xf numFmtId="0" fontId="7" fillId="0" borderId="0" xfId="0" applyFont="1"/>
    <xf numFmtId="0" fontId="9" fillId="2" borderId="0" xfId="1" applyAlignment="1">
      <alignment horizontal="left"/>
    </xf>
    <xf numFmtId="0" fontId="10" fillId="0" borderId="0" xfId="0" applyFont="1"/>
    <xf numFmtId="0" fontId="11" fillId="0" borderId="0" xfId="0" applyFont="1" applyAlignment="1">
      <alignment horizontal="left"/>
    </xf>
    <xf numFmtId="0" fontId="11" fillId="0" borderId="0" xfId="0" applyFont="1"/>
    <xf numFmtId="0" fontId="1" fillId="3" borderId="0" xfId="0" applyFont="1" applyFill="1" applyAlignment="1">
      <alignment horizontal="left"/>
    </xf>
    <xf numFmtId="0" fontId="1" fillId="3" borderId="0" xfId="0" applyFont="1" applyFill="1"/>
    <xf numFmtId="0" fontId="0" fillId="3" borderId="0" xfId="0" applyFill="1"/>
    <xf numFmtId="0" fontId="0" fillId="3" borderId="0" xfId="0" applyFill="1" applyAlignment="1">
      <alignment horizontal="left"/>
    </xf>
  </cellXfs>
  <cellStyles count="2">
    <cellStyle name="Bad" xfId="1" builtinId="27"/>
    <cellStyle name="Normal" xfId="0" builtinId="0"/>
  </cellStyles>
  <dxfs count="58"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06E8D-471C-FD46-A1D1-22F26DACF42F}">
  <sheetPr codeName="Sheet1"/>
  <dimension ref="A1:AJ46"/>
  <sheetViews>
    <sheetView tabSelected="1" zoomScaleNormal="100" workbookViewId="0">
      <pane ySplit="1" topLeftCell="A9" activePane="bottomLeft" state="frozen"/>
      <selection pane="bottomLeft" activeCell="AB31" sqref="AB31"/>
    </sheetView>
  </sheetViews>
  <sheetFormatPr baseColWidth="10" defaultColWidth="10.6640625" defaultRowHeight="16" x14ac:dyDescent="0.2"/>
  <cols>
    <col min="1" max="1" width="9.1640625" style="2" customWidth="1"/>
    <col min="2" max="2" width="24.1640625" style="2" customWidth="1"/>
    <col min="3" max="3" width="13.6640625" style="2" bestFit="1" customWidth="1"/>
    <col min="4" max="4" width="9.1640625" style="1" customWidth="1"/>
    <col min="5" max="6" width="10.6640625" style="1" customWidth="1"/>
    <col min="7" max="7" width="8.1640625" style="1" bestFit="1" customWidth="1"/>
    <col min="8" max="8" width="21.1640625" style="2" customWidth="1"/>
    <col min="9" max="9" width="15.6640625" style="2" bestFit="1" customWidth="1"/>
    <col min="10" max="10" width="19.1640625" style="2" bestFit="1" customWidth="1"/>
    <col min="11" max="11" width="13.6640625" style="2" bestFit="1" customWidth="1"/>
    <col min="12" max="12" width="22.6640625" style="2" customWidth="1"/>
    <col min="13" max="13" width="22.1640625" style="2" customWidth="1"/>
    <col min="14" max="14" width="18.6640625" style="2" customWidth="1"/>
    <col min="15" max="15" width="12.1640625" style="2" bestFit="1" customWidth="1"/>
    <col min="16" max="16" width="6.1640625" style="2" bestFit="1" customWidth="1"/>
    <col min="17" max="17" width="13.1640625" style="2" bestFit="1" customWidth="1"/>
    <col min="18" max="18" width="37.6640625" style="2" customWidth="1"/>
    <col min="19" max="19" width="24.5" style="2" bestFit="1" customWidth="1"/>
    <col min="20" max="20" width="148.6640625" style="2" customWidth="1"/>
    <col min="21" max="21" width="24.5" style="2" customWidth="1"/>
    <col min="22" max="22" width="36.1640625" style="2" customWidth="1"/>
    <col min="23" max="23" width="14" style="2" customWidth="1"/>
    <col min="24" max="24" width="15.6640625" style="2" customWidth="1"/>
    <col min="25" max="25" width="14.6640625" style="2" customWidth="1"/>
    <col min="26" max="26" width="18.1640625" style="2" customWidth="1"/>
    <col min="27" max="27" width="16.1640625" style="2" customWidth="1"/>
    <col min="28" max="28" width="16.6640625" style="2" customWidth="1"/>
    <col min="29" max="29" width="11.6640625" style="2" customWidth="1"/>
    <col min="30" max="30" width="10.6640625" style="2"/>
    <col min="31" max="31" width="11.6640625" style="2" customWidth="1"/>
    <col min="32" max="16384" width="10.6640625" style="2"/>
  </cols>
  <sheetData>
    <row r="1" spans="1:31" x14ac:dyDescent="0.2">
      <c r="A1" s="4" t="s">
        <v>12</v>
      </c>
      <c r="B1" s="4" t="s">
        <v>10</v>
      </c>
      <c r="C1" s="4" t="s">
        <v>11</v>
      </c>
      <c r="D1" s="5" t="s">
        <v>33</v>
      </c>
      <c r="E1" s="5" t="s">
        <v>0</v>
      </c>
      <c r="F1" s="5" t="s">
        <v>152</v>
      </c>
      <c r="G1" s="5" t="s">
        <v>1</v>
      </c>
      <c r="H1" s="4" t="s">
        <v>2</v>
      </c>
      <c r="I1" s="4" t="s">
        <v>3</v>
      </c>
      <c r="J1" s="4" t="s">
        <v>4</v>
      </c>
      <c r="K1" s="4" t="s">
        <v>5</v>
      </c>
      <c r="L1" s="4" t="s">
        <v>6</v>
      </c>
      <c r="M1" s="4" t="s">
        <v>7</v>
      </c>
      <c r="N1" s="4" t="s">
        <v>8</v>
      </c>
      <c r="O1" s="4" t="s">
        <v>9</v>
      </c>
      <c r="P1" s="4" t="s">
        <v>39</v>
      </c>
      <c r="Q1" s="4" t="s">
        <v>40</v>
      </c>
      <c r="R1" s="4" t="s">
        <v>96</v>
      </c>
      <c r="S1" s="17" t="s">
        <v>230</v>
      </c>
      <c r="T1" s="17" t="s">
        <v>237</v>
      </c>
      <c r="U1" s="16" t="s">
        <v>255</v>
      </c>
      <c r="V1" s="17" t="s">
        <v>272</v>
      </c>
      <c r="W1" s="16" t="s">
        <v>273</v>
      </c>
      <c r="X1" s="16" t="s">
        <v>274</v>
      </c>
      <c r="Y1" s="16" t="s">
        <v>275</v>
      </c>
      <c r="Z1" s="16" t="s">
        <v>276</v>
      </c>
      <c r="AA1" s="16" t="s">
        <v>277</v>
      </c>
      <c r="AB1" s="16" t="s">
        <v>278</v>
      </c>
      <c r="AC1" s="16" t="s">
        <v>279</v>
      </c>
      <c r="AD1" s="16" t="s">
        <v>280</v>
      </c>
      <c r="AE1" s="16" t="s">
        <v>281</v>
      </c>
    </row>
    <row r="2" spans="1:31" x14ac:dyDescent="0.2">
      <c r="A2" s="2" t="s">
        <v>36</v>
      </c>
      <c r="B2" s="2" t="s">
        <v>198</v>
      </c>
      <c r="C2" s="2" t="s">
        <v>37</v>
      </c>
      <c r="D2" s="1">
        <v>2</v>
      </c>
      <c r="E2" s="1" t="s">
        <v>15</v>
      </c>
      <c r="F2" s="1">
        <v>246</v>
      </c>
      <c r="G2" s="1">
        <v>8</v>
      </c>
      <c r="H2" s="2" t="s">
        <v>212</v>
      </c>
      <c r="I2" s="2" t="s">
        <v>205</v>
      </c>
      <c r="J2" s="2" t="s">
        <v>206</v>
      </c>
      <c r="K2" s="2" t="s">
        <v>207</v>
      </c>
      <c r="L2" s="2" t="s">
        <v>208</v>
      </c>
      <c r="M2" s="2" t="s">
        <v>209</v>
      </c>
      <c r="N2" s="2" t="s">
        <v>210</v>
      </c>
      <c r="O2" s="2" t="s">
        <v>211</v>
      </c>
      <c r="P2" s="3">
        <v>0.5</v>
      </c>
      <c r="Q2" s="3">
        <v>4</v>
      </c>
      <c r="R2" s="13" t="s">
        <v>238</v>
      </c>
      <c r="S2" s="18" t="s">
        <v>322</v>
      </c>
      <c r="T2" s="18" t="s">
        <v>323</v>
      </c>
      <c r="U2" s="18"/>
      <c r="V2" s="19" t="s">
        <v>324</v>
      </c>
      <c r="W2" s="19" t="s">
        <v>37</v>
      </c>
      <c r="X2" s="19" t="s">
        <v>325</v>
      </c>
      <c r="Y2" s="19" t="s">
        <v>326</v>
      </c>
      <c r="Z2" s="19" t="s">
        <v>327</v>
      </c>
      <c r="AA2" s="19" t="s">
        <v>328</v>
      </c>
      <c r="AB2" s="19" t="s">
        <v>329</v>
      </c>
      <c r="AC2" s="19" t="s">
        <v>330</v>
      </c>
      <c r="AD2" s="19" t="s">
        <v>331</v>
      </c>
      <c r="AE2" s="19" t="s">
        <v>332</v>
      </c>
    </row>
    <row r="3" spans="1:31" x14ac:dyDescent="0.2">
      <c r="A3" s="2" t="s">
        <v>36</v>
      </c>
      <c r="B3" s="2" t="s">
        <v>199</v>
      </c>
      <c r="C3" s="2" t="s">
        <v>37</v>
      </c>
      <c r="D3" s="1">
        <v>2</v>
      </c>
      <c r="E3" s="1" t="s">
        <v>195</v>
      </c>
      <c r="F3" s="1">
        <v>247</v>
      </c>
      <c r="G3" s="1">
        <v>8</v>
      </c>
      <c r="H3" s="2" t="s">
        <v>204</v>
      </c>
      <c r="I3" s="2" t="s">
        <v>27</v>
      </c>
      <c r="J3" s="2" t="s">
        <v>27</v>
      </c>
      <c r="K3" s="2" t="s">
        <v>27</v>
      </c>
      <c r="L3" s="2" t="s">
        <v>213</v>
      </c>
      <c r="M3" s="2" t="s">
        <v>27</v>
      </c>
      <c r="N3" s="2" t="s">
        <v>27</v>
      </c>
      <c r="O3" s="2" t="s">
        <v>27</v>
      </c>
      <c r="P3" s="3">
        <v>0.5</v>
      </c>
      <c r="Q3" s="3">
        <v>4</v>
      </c>
      <c r="R3" s="14" t="s">
        <v>221</v>
      </c>
      <c r="S3" s="18" t="s">
        <v>333</v>
      </c>
      <c r="T3" s="18" t="s">
        <v>334</v>
      </c>
      <c r="U3" s="18"/>
      <c r="V3" s="19" t="s">
        <v>335</v>
      </c>
      <c r="W3" s="19" t="s">
        <v>37</v>
      </c>
      <c r="X3" s="19" t="s">
        <v>336</v>
      </c>
      <c r="Y3" s="19" t="s">
        <v>31</v>
      </c>
      <c r="Z3" s="19" t="s">
        <v>31</v>
      </c>
      <c r="AA3" s="19" t="s">
        <v>31</v>
      </c>
      <c r="AB3" s="19" t="s">
        <v>337</v>
      </c>
      <c r="AC3" s="19" t="s">
        <v>31</v>
      </c>
      <c r="AD3" s="19" t="s">
        <v>31</v>
      </c>
      <c r="AE3" s="19" t="s">
        <v>31</v>
      </c>
    </row>
    <row r="4" spans="1:31" x14ac:dyDescent="0.2">
      <c r="A4" s="2" t="s">
        <v>36</v>
      </c>
      <c r="B4" s="2" t="s">
        <v>200</v>
      </c>
      <c r="C4" s="2" t="s">
        <v>37</v>
      </c>
      <c r="D4" s="1">
        <v>2</v>
      </c>
      <c r="E4" s="1" t="s">
        <v>196</v>
      </c>
      <c r="F4" s="1">
        <v>248</v>
      </c>
      <c r="G4" s="1">
        <v>5</v>
      </c>
      <c r="H4" s="2" t="s">
        <v>214</v>
      </c>
      <c r="I4" s="2" t="s">
        <v>27</v>
      </c>
      <c r="J4" s="2" t="s">
        <v>27</v>
      </c>
      <c r="K4" s="2" t="s">
        <v>27</v>
      </c>
      <c r="L4" s="2" t="s">
        <v>216</v>
      </c>
      <c r="M4" s="2" t="s">
        <v>31</v>
      </c>
      <c r="N4" s="2" t="s">
        <v>31</v>
      </c>
      <c r="O4" s="2" t="s">
        <v>31</v>
      </c>
      <c r="P4" s="3">
        <v>0.5</v>
      </c>
      <c r="Q4" s="3">
        <v>2.5</v>
      </c>
      <c r="R4" s="14" t="s">
        <v>223</v>
      </c>
      <c r="S4" s="18" t="s">
        <v>338</v>
      </c>
      <c r="T4" s="18" t="s">
        <v>339</v>
      </c>
      <c r="U4" s="18"/>
      <c r="V4" s="19" t="s">
        <v>200</v>
      </c>
      <c r="W4" s="19" t="s">
        <v>37</v>
      </c>
      <c r="X4" s="19" t="s">
        <v>340</v>
      </c>
      <c r="Y4" s="19" t="s">
        <v>31</v>
      </c>
      <c r="Z4" s="19" t="s">
        <v>31</v>
      </c>
      <c r="AA4" s="19" t="s">
        <v>31</v>
      </c>
      <c r="AB4" s="19" t="s">
        <v>341</v>
      </c>
      <c r="AC4" s="19" t="s">
        <v>31</v>
      </c>
      <c r="AD4" s="19" t="s">
        <v>31</v>
      </c>
      <c r="AE4" s="19" t="s">
        <v>31</v>
      </c>
    </row>
    <row r="5" spans="1:31" x14ac:dyDescent="0.2">
      <c r="A5" s="2" t="s">
        <v>36</v>
      </c>
      <c r="B5" s="2" t="s">
        <v>201</v>
      </c>
      <c r="C5" s="2" t="s">
        <v>37</v>
      </c>
      <c r="D5" s="1">
        <v>2</v>
      </c>
      <c r="E5" s="1" t="s">
        <v>197</v>
      </c>
      <c r="F5" s="1">
        <v>249</v>
      </c>
      <c r="G5" s="1">
        <v>5</v>
      </c>
      <c r="H5" s="2" t="s">
        <v>215</v>
      </c>
      <c r="I5" s="2" t="s">
        <v>27</v>
      </c>
      <c r="J5" s="2" t="s">
        <v>27</v>
      </c>
      <c r="K5" s="2" t="s">
        <v>27</v>
      </c>
      <c r="L5" s="2" t="s">
        <v>217</v>
      </c>
      <c r="M5" s="2" t="s">
        <v>31</v>
      </c>
      <c r="N5" s="2" t="s">
        <v>31</v>
      </c>
      <c r="O5" s="2" t="s">
        <v>31</v>
      </c>
      <c r="P5" s="3">
        <v>0.5</v>
      </c>
      <c r="Q5" s="3">
        <v>2.5</v>
      </c>
      <c r="R5" s="14" t="s">
        <v>223</v>
      </c>
      <c r="S5" s="18" t="s">
        <v>338</v>
      </c>
      <c r="T5" s="18" t="s">
        <v>342</v>
      </c>
      <c r="U5" s="18"/>
      <c r="V5" s="19" t="s">
        <v>201</v>
      </c>
      <c r="W5" s="19" t="s">
        <v>37</v>
      </c>
      <c r="X5" s="19" t="s">
        <v>343</v>
      </c>
      <c r="Y5" s="19" t="s">
        <v>31</v>
      </c>
      <c r="Z5" s="19" t="s">
        <v>31</v>
      </c>
      <c r="AA5" s="19" t="s">
        <v>31</v>
      </c>
      <c r="AB5" s="19" t="s">
        <v>344</v>
      </c>
      <c r="AC5" s="19" t="s">
        <v>31</v>
      </c>
      <c r="AD5" s="19" t="s">
        <v>31</v>
      </c>
      <c r="AE5" s="19" t="s">
        <v>31</v>
      </c>
    </row>
    <row r="6" spans="1:31" x14ac:dyDescent="0.2">
      <c r="A6" s="2" t="s">
        <v>36</v>
      </c>
      <c r="B6" s="2" t="s">
        <v>203</v>
      </c>
      <c r="C6" s="2" t="s">
        <v>37</v>
      </c>
      <c r="D6" s="1">
        <v>2</v>
      </c>
      <c r="E6" s="1" t="s">
        <v>202</v>
      </c>
      <c r="F6" s="1">
        <v>250</v>
      </c>
      <c r="G6" s="1">
        <v>5</v>
      </c>
      <c r="H6" s="2" t="s">
        <v>218</v>
      </c>
      <c r="I6" s="2" t="s">
        <v>27</v>
      </c>
      <c r="J6" s="2" t="s">
        <v>27</v>
      </c>
      <c r="K6" s="2" t="s">
        <v>27</v>
      </c>
      <c r="L6" s="2" t="s">
        <v>219</v>
      </c>
      <c r="M6" s="2" t="s">
        <v>31</v>
      </c>
      <c r="N6" s="2" t="s">
        <v>31</v>
      </c>
      <c r="O6" s="2" t="s">
        <v>31</v>
      </c>
      <c r="P6" s="3">
        <v>0.5</v>
      </c>
      <c r="Q6" s="3">
        <v>2.5</v>
      </c>
      <c r="R6" s="14" t="s">
        <v>239</v>
      </c>
      <c r="S6" s="18" t="s">
        <v>345</v>
      </c>
      <c r="T6" s="18" t="s">
        <v>346</v>
      </c>
      <c r="U6" s="18"/>
      <c r="V6" s="19" t="s">
        <v>347</v>
      </c>
      <c r="W6" s="19" t="s">
        <v>37</v>
      </c>
      <c r="X6" s="19" t="s">
        <v>348</v>
      </c>
      <c r="Y6" s="19" t="s">
        <v>31</v>
      </c>
      <c r="Z6" s="19" t="s">
        <v>31</v>
      </c>
      <c r="AA6" s="19" t="s">
        <v>31</v>
      </c>
      <c r="AB6" s="19" t="s">
        <v>349</v>
      </c>
      <c r="AC6" s="19" t="s">
        <v>31</v>
      </c>
      <c r="AD6" s="19" t="s">
        <v>31</v>
      </c>
      <c r="AE6" s="19" t="s">
        <v>31</v>
      </c>
    </row>
    <row r="7" spans="1:31" x14ac:dyDescent="0.2">
      <c r="A7" s="2" t="s">
        <v>36</v>
      </c>
      <c r="B7" s="2" t="s">
        <v>154</v>
      </c>
      <c r="C7" s="2" t="s">
        <v>37</v>
      </c>
      <c r="D7" s="1">
        <v>2</v>
      </c>
      <c r="E7" s="1" t="s">
        <v>153</v>
      </c>
      <c r="F7" s="1">
        <v>273</v>
      </c>
      <c r="G7" s="1">
        <v>8</v>
      </c>
      <c r="H7" s="2" t="s">
        <v>177</v>
      </c>
      <c r="I7" s="2" t="s">
        <v>178</v>
      </c>
      <c r="J7" s="2" t="s">
        <v>179</v>
      </c>
      <c r="K7" s="2" t="s">
        <v>180</v>
      </c>
      <c r="L7" s="2" t="s">
        <v>181</v>
      </c>
      <c r="M7" s="2" t="s">
        <v>227</v>
      </c>
      <c r="N7" s="2" t="s">
        <v>228</v>
      </c>
      <c r="O7" s="2" t="s">
        <v>229</v>
      </c>
      <c r="P7" s="3">
        <v>0.5</v>
      </c>
      <c r="Q7" s="3">
        <v>4</v>
      </c>
      <c r="R7" s="15" t="s">
        <v>238</v>
      </c>
      <c r="S7" s="18" t="s">
        <v>322</v>
      </c>
      <c r="T7" s="18" t="s">
        <v>350</v>
      </c>
      <c r="U7" s="18"/>
      <c r="V7" s="19" t="s">
        <v>351</v>
      </c>
      <c r="W7" s="19" t="s">
        <v>37</v>
      </c>
      <c r="X7" s="19" t="s">
        <v>177</v>
      </c>
      <c r="Y7" s="19" t="s">
        <v>352</v>
      </c>
      <c r="Z7" s="19" t="s">
        <v>353</v>
      </c>
      <c r="AA7" s="19" t="s">
        <v>354</v>
      </c>
      <c r="AB7" s="19" t="s">
        <v>181</v>
      </c>
      <c r="AC7" s="19" t="s">
        <v>355</v>
      </c>
      <c r="AD7" s="19" t="s">
        <v>356</v>
      </c>
      <c r="AE7" s="19" t="s">
        <v>357</v>
      </c>
    </row>
    <row r="8" spans="1:31" x14ac:dyDescent="0.2">
      <c r="A8" s="2" t="s">
        <v>36</v>
      </c>
      <c r="B8" s="12" t="s">
        <v>184</v>
      </c>
      <c r="C8" s="2" t="s">
        <v>155</v>
      </c>
      <c r="E8" s="1" t="s">
        <v>160</v>
      </c>
      <c r="F8" s="1">
        <v>433</v>
      </c>
      <c r="G8" s="1">
        <v>8</v>
      </c>
      <c r="H8" s="2" t="s">
        <v>156</v>
      </c>
      <c r="I8" s="2" t="s">
        <v>27</v>
      </c>
      <c r="J8" s="2" t="s">
        <v>27</v>
      </c>
      <c r="K8" s="2" t="s">
        <v>27</v>
      </c>
      <c r="L8" s="2" t="s">
        <v>157</v>
      </c>
      <c r="M8" s="2" t="s">
        <v>27</v>
      </c>
      <c r="N8" s="2" t="s">
        <v>27</v>
      </c>
      <c r="O8" s="2" t="s">
        <v>27</v>
      </c>
      <c r="P8" s="3" t="s">
        <v>358</v>
      </c>
      <c r="Q8" s="3" t="s">
        <v>358</v>
      </c>
      <c r="R8" s="7" t="s">
        <v>221</v>
      </c>
      <c r="S8" s="18" t="s">
        <v>333</v>
      </c>
      <c r="T8" s="18" t="s">
        <v>359</v>
      </c>
      <c r="U8" s="18"/>
      <c r="V8" s="19" t="s">
        <v>360</v>
      </c>
      <c r="W8" s="19" t="s">
        <v>155</v>
      </c>
      <c r="X8" s="19" t="s">
        <v>361</v>
      </c>
      <c r="Y8" s="19" t="s">
        <v>31</v>
      </c>
      <c r="Z8" s="19" t="s">
        <v>31</v>
      </c>
      <c r="AA8" s="19" t="s">
        <v>31</v>
      </c>
      <c r="AB8" s="19" t="s">
        <v>157</v>
      </c>
      <c r="AC8" s="19" t="s">
        <v>31</v>
      </c>
      <c r="AD8" s="19" t="s">
        <v>31</v>
      </c>
      <c r="AE8" s="19" t="s">
        <v>31</v>
      </c>
    </row>
    <row r="9" spans="1:31" x14ac:dyDescent="0.2">
      <c r="A9" s="2" t="s">
        <v>36</v>
      </c>
      <c r="B9" s="12" t="s">
        <v>185</v>
      </c>
      <c r="C9" s="2" t="s">
        <v>155</v>
      </c>
      <c r="E9" s="1" t="s">
        <v>161</v>
      </c>
      <c r="F9" s="1">
        <v>434</v>
      </c>
      <c r="G9" s="1">
        <v>8</v>
      </c>
      <c r="H9" s="2" t="s">
        <v>159</v>
      </c>
      <c r="I9" s="2" t="s">
        <v>27</v>
      </c>
      <c r="J9" s="2" t="s">
        <v>27</v>
      </c>
      <c r="K9" s="2" t="s">
        <v>27</v>
      </c>
      <c r="L9" s="2" t="s">
        <v>158</v>
      </c>
      <c r="M9" s="2" t="s">
        <v>27</v>
      </c>
      <c r="N9" s="2" t="s">
        <v>27</v>
      </c>
      <c r="O9" s="2" t="s">
        <v>27</v>
      </c>
      <c r="P9" s="3" t="s">
        <v>358</v>
      </c>
      <c r="Q9" s="3" t="s">
        <v>358</v>
      </c>
      <c r="R9" s="7" t="s">
        <v>224</v>
      </c>
      <c r="S9" s="18" t="s">
        <v>362</v>
      </c>
      <c r="T9" s="18" t="s">
        <v>363</v>
      </c>
      <c r="U9" s="18"/>
      <c r="V9" s="19" t="s">
        <v>360</v>
      </c>
      <c r="W9" s="19" t="s">
        <v>155</v>
      </c>
      <c r="X9" s="19" t="s">
        <v>364</v>
      </c>
      <c r="Y9" s="19" t="s">
        <v>31</v>
      </c>
      <c r="Z9" s="19" t="s">
        <v>31</v>
      </c>
      <c r="AA9" s="19" t="s">
        <v>31</v>
      </c>
      <c r="AB9" s="19" t="s">
        <v>365</v>
      </c>
      <c r="AC9" s="19" t="s">
        <v>31</v>
      </c>
      <c r="AD9" s="19" t="s">
        <v>31</v>
      </c>
      <c r="AE9" s="19" t="s">
        <v>31</v>
      </c>
    </row>
    <row r="10" spans="1:31" x14ac:dyDescent="0.2">
      <c r="A10" s="2" t="s">
        <v>36</v>
      </c>
      <c r="B10" s="2" t="s">
        <v>44</v>
      </c>
      <c r="C10" s="2" t="s">
        <v>13</v>
      </c>
      <c r="D10" s="1">
        <v>0.1</v>
      </c>
      <c r="E10" s="1" t="s">
        <v>42</v>
      </c>
      <c r="F10" s="1">
        <v>1281</v>
      </c>
      <c r="G10" s="1">
        <v>8</v>
      </c>
      <c r="H10" s="2" t="s">
        <v>175</v>
      </c>
      <c r="I10" s="2" t="s">
        <v>27</v>
      </c>
      <c r="J10" s="2" t="s">
        <v>27</v>
      </c>
      <c r="K10" s="2" t="s">
        <v>27</v>
      </c>
      <c r="L10" s="2" t="s">
        <v>176</v>
      </c>
      <c r="M10" s="2" t="s">
        <v>27</v>
      </c>
      <c r="N10" s="2" t="s">
        <v>27</v>
      </c>
      <c r="O10" s="2" t="s">
        <v>27</v>
      </c>
      <c r="P10" s="3">
        <v>10</v>
      </c>
      <c r="Q10" s="3">
        <v>80</v>
      </c>
      <c r="R10" s="7" t="s">
        <v>221</v>
      </c>
      <c r="S10" s="18" t="s">
        <v>333</v>
      </c>
      <c r="T10" s="18" t="s">
        <v>366</v>
      </c>
      <c r="U10" s="18"/>
      <c r="V10" s="19" t="s">
        <v>367</v>
      </c>
      <c r="W10" s="19" t="s">
        <v>368</v>
      </c>
      <c r="X10" s="19" t="s">
        <v>369</v>
      </c>
      <c r="Y10" s="19" t="s">
        <v>31</v>
      </c>
      <c r="Z10" s="19" t="s">
        <v>31</v>
      </c>
      <c r="AA10" s="19" t="s">
        <v>31</v>
      </c>
      <c r="AB10" s="19" t="s">
        <v>370</v>
      </c>
      <c r="AC10" s="19" t="s">
        <v>31</v>
      </c>
      <c r="AD10" s="19" t="s">
        <v>31</v>
      </c>
      <c r="AE10" s="19" t="s">
        <v>31</v>
      </c>
    </row>
    <row r="11" spans="1:31" x14ac:dyDescent="0.2">
      <c r="A11" s="2" t="s">
        <v>38</v>
      </c>
      <c r="B11" s="2" t="s">
        <v>45</v>
      </c>
      <c r="C11" s="2" t="s">
        <v>13</v>
      </c>
      <c r="D11" s="1">
        <v>0.5</v>
      </c>
      <c r="E11" s="1" t="s">
        <v>43</v>
      </c>
      <c r="F11" s="1">
        <v>1282</v>
      </c>
      <c r="G11" s="1">
        <v>8</v>
      </c>
      <c r="H11" t="s">
        <v>271</v>
      </c>
      <c r="I11" s="2" t="s">
        <v>31</v>
      </c>
      <c r="J11" s="2" t="s">
        <v>31</v>
      </c>
      <c r="K11" s="2" t="s">
        <v>31</v>
      </c>
      <c r="L11" s="2" t="s">
        <v>270</v>
      </c>
      <c r="M11" s="2" t="s">
        <v>27</v>
      </c>
      <c r="N11" s="2" t="s">
        <v>27</v>
      </c>
      <c r="O11" s="2" t="s">
        <v>27</v>
      </c>
      <c r="P11" s="3">
        <v>2</v>
      </c>
      <c r="Q11" s="3">
        <v>16</v>
      </c>
      <c r="R11" s="7" t="s">
        <v>221</v>
      </c>
      <c r="S11" s="18" t="s">
        <v>333</v>
      </c>
      <c r="T11" s="18" t="s">
        <v>371</v>
      </c>
      <c r="U11" s="18"/>
      <c r="V11" s="19" t="s">
        <v>372</v>
      </c>
      <c r="W11" s="19" t="s">
        <v>368</v>
      </c>
      <c r="X11" s="19" t="s">
        <v>271</v>
      </c>
      <c r="Y11" s="19" t="s">
        <v>31</v>
      </c>
      <c r="Z11" s="19" t="s">
        <v>31</v>
      </c>
      <c r="AA11" s="19" t="s">
        <v>31</v>
      </c>
      <c r="AB11" s="19" t="s">
        <v>373</v>
      </c>
      <c r="AC11" s="19" t="s">
        <v>31</v>
      </c>
      <c r="AD11" s="19" t="s">
        <v>31</v>
      </c>
      <c r="AE11" s="19" t="s">
        <v>31</v>
      </c>
    </row>
    <row r="12" spans="1:31" x14ac:dyDescent="0.2">
      <c r="A12" s="2" t="s">
        <v>38</v>
      </c>
      <c r="B12" s="2" t="s">
        <v>60</v>
      </c>
      <c r="C12" s="2" t="s">
        <v>14</v>
      </c>
      <c r="D12" s="1">
        <v>1</v>
      </c>
      <c r="E12" s="1" t="s">
        <v>46</v>
      </c>
      <c r="F12" s="1">
        <v>1536</v>
      </c>
      <c r="G12" s="1">
        <v>8</v>
      </c>
      <c r="H12" s="2" t="s">
        <v>164</v>
      </c>
      <c r="I12" s="2" t="s">
        <v>27</v>
      </c>
      <c r="J12" s="2" t="s">
        <v>27</v>
      </c>
      <c r="K12" s="2" t="s">
        <v>27</v>
      </c>
      <c r="L12" s="2" t="s">
        <v>169</v>
      </c>
      <c r="M12" s="2" t="s">
        <v>27</v>
      </c>
      <c r="N12" s="2" t="s">
        <v>27</v>
      </c>
      <c r="O12" s="2" t="s">
        <v>27</v>
      </c>
      <c r="P12" s="3">
        <v>1</v>
      </c>
      <c r="Q12" s="3">
        <v>8</v>
      </c>
      <c r="R12" s="8" t="s">
        <v>253</v>
      </c>
      <c r="S12" s="18" t="s">
        <v>374</v>
      </c>
      <c r="T12" s="18" t="s">
        <v>375</v>
      </c>
      <c r="U12" s="18"/>
      <c r="V12" s="19" t="s">
        <v>376</v>
      </c>
      <c r="W12" s="19" t="s">
        <v>14</v>
      </c>
      <c r="X12" s="19" t="s">
        <v>377</v>
      </c>
      <c r="Y12" s="19" t="s">
        <v>31</v>
      </c>
      <c r="Z12" s="19" t="s">
        <v>31</v>
      </c>
      <c r="AA12" s="19" t="s">
        <v>31</v>
      </c>
      <c r="AB12" s="19" t="s">
        <v>378</v>
      </c>
      <c r="AC12" s="19" t="s">
        <v>31</v>
      </c>
      <c r="AD12" s="19" t="s">
        <v>31</v>
      </c>
      <c r="AE12" s="19" t="s">
        <v>31</v>
      </c>
    </row>
    <row r="13" spans="1:31" x14ac:dyDescent="0.2">
      <c r="A13" s="2" t="s">
        <v>36</v>
      </c>
      <c r="B13" s="2" t="s">
        <v>61</v>
      </c>
      <c r="C13" s="2" t="s">
        <v>14</v>
      </c>
      <c r="D13" s="1">
        <v>0.2</v>
      </c>
      <c r="E13" s="1" t="s">
        <v>47</v>
      </c>
      <c r="F13" s="1">
        <v>1537</v>
      </c>
      <c r="G13" s="1">
        <v>8</v>
      </c>
      <c r="H13" s="2" t="s">
        <v>168</v>
      </c>
      <c r="I13" s="2" t="s">
        <v>27</v>
      </c>
      <c r="J13" s="2" t="s">
        <v>167</v>
      </c>
      <c r="K13" s="2" t="s">
        <v>27</v>
      </c>
      <c r="L13" s="2" t="s">
        <v>166</v>
      </c>
      <c r="M13" s="2" t="s">
        <v>27</v>
      </c>
      <c r="N13" s="2" t="s">
        <v>285</v>
      </c>
      <c r="O13" s="2" t="s">
        <v>286</v>
      </c>
      <c r="P13" s="3">
        <v>5</v>
      </c>
      <c r="Q13" s="3">
        <v>40</v>
      </c>
      <c r="R13" s="8" t="s">
        <v>287</v>
      </c>
      <c r="S13" s="18" t="s">
        <v>379</v>
      </c>
      <c r="T13" s="18" t="s">
        <v>380</v>
      </c>
      <c r="U13" s="18"/>
      <c r="V13" s="19" t="s">
        <v>381</v>
      </c>
      <c r="W13" s="19" t="s">
        <v>14</v>
      </c>
      <c r="X13" s="19" t="s">
        <v>382</v>
      </c>
      <c r="Y13" s="19" t="s">
        <v>31</v>
      </c>
      <c r="Z13" s="19" t="s">
        <v>383</v>
      </c>
      <c r="AA13" s="19" t="s">
        <v>31</v>
      </c>
      <c r="AB13" s="19" t="s">
        <v>384</v>
      </c>
      <c r="AC13" s="19" t="s">
        <v>31</v>
      </c>
      <c r="AD13" s="19" t="s">
        <v>385</v>
      </c>
      <c r="AE13" s="19" t="s">
        <v>386</v>
      </c>
    </row>
    <row r="14" spans="1:31" x14ac:dyDescent="0.2">
      <c r="A14" s="2" t="s">
        <v>36</v>
      </c>
      <c r="B14" s="2" t="s">
        <v>170</v>
      </c>
      <c r="C14" s="2" t="s">
        <v>14</v>
      </c>
      <c r="D14" s="1">
        <v>0.2</v>
      </c>
      <c r="E14" s="1" t="s">
        <v>48</v>
      </c>
      <c r="F14" s="1">
        <v>1538</v>
      </c>
      <c r="G14" s="1">
        <v>8</v>
      </c>
      <c r="H14" s="2" t="s">
        <v>269</v>
      </c>
      <c r="I14" s="2" t="s">
        <v>27</v>
      </c>
      <c r="J14" s="2" t="s">
        <v>27</v>
      </c>
      <c r="K14" s="2" t="s">
        <v>27</v>
      </c>
      <c r="L14" s="2" t="s">
        <v>257</v>
      </c>
      <c r="M14" s="2" t="s">
        <v>27</v>
      </c>
      <c r="N14" s="2" t="s">
        <v>27</v>
      </c>
      <c r="O14" s="2" t="s">
        <v>27</v>
      </c>
      <c r="P14" s="3">
        <v>5</v>
      </c>
      <c r="Q14" s="3">
        <v>40</v>
      </c>
      <c r="R14" s="7" t="s">
        <v>221</v>
      </c>
      <c r="S14" s="18" t="s">
        <v>333</v>
      </c>
      <c r="T14" s="18" t="s">
        <v>387</v>
      </c>
      <c r="U14" s="18"/>
      <c r="V14" s="19" t="s">
        <v>388</v>
      </c>
      <c r="W14" s="19" t="s">
        <v>14</v>
      </c>
      <c r="X14" s="19" t="s">
        <v>389</v>
      </c>
      <c r="Y14" s="19" t="s">
        <v>31</v>
      </c>
      <c r="Z14" s="19" t="s">
        <v>31</v>
      </c>
      <c r="AA14" s="19" t="s">
        <v>31</v>
      </c>
      <c r="AB14" s="19" t="s">
        <v>390</v>
      </c>
      <c r="AC14" s="19" t="s">
        <v>31</v>
      </c>
      <c r="AD14" s="19" t="s">
        <v>31</v>
      </c>
      <c r="AE14" s="19" t="s">
        <v>31</v>
      </c>
    </row>
    <row r="15" spans="1:31" x14ac:dyDescent="0.2">
      <c r="A15" s="2" t="s">
        <v>36</v>
      </c>
      <c r="B15" s="2" t="s">
        <v>288</v>
      </c>
      <c r="C15" s="2" t="s">
        <v>14</v>
      </c>
      <c r="D15" s="1">
        <v>0.2</v>
      </c>
      <c r="E15" s="1" t="s">
        <v>41</v>
      </c>
      <c r="F15" s="1">
        <v>1539</v>
      </c>
      <c r="G15" s="1">
        <v>8</v>
      </c>
      <c r="H15" s="2" t="s">
        <v>268</v>
      </c>
      <c r="I15" s="2" t="s">
        <v>27</v>
      </c>
      <c r="J15" s="2" t="s">
        <v>27</v>
      </c>
      <c r="K15" s="2" t="s">
        <v>27</v>
      </c>
      <c r="L15" s="2" t="s">
        <v>258</v>
      </c>
      <c r="M15" s="2" t="s">
        <v>27</v>
      </c>
      <c r="N15" s="2" t="s">
        <v>27</v>
      </c>
      <c r="O15" s="2" t="s">
        <v>27</v>
      </c>
      <c r="P15" s="3">
        <v>5</v>
      </c>
      <c r="Q15" s="3">
        <v>40</v>
      </c>
      <c r="R15" s="7" t="s">
        <v>221</v>
      </c>
      <c r="S15" s="18" t="s">
        <v>333</v>
      </c>
      <c r="T15" s="18" t="s">
        <v>391</v>
      </c>
      <c r="U15" s="18"/>
      <c r="V15" s="19" t="s">
        <v>256</v>
      </c>
      <c r="W15" s="19" t="s">
        <v>14</v>
      </c>
      <c r="X15" s="19" t="s">
        <v>392</v>
      </c>
      <c r="Y15" s="19" t="s">
        <v>31</v>
      </c>
      <c r="Z15" s="19" t="s">
        <v>31</v>
      </c>
      <c r="AA15" s="19" t="s">
        <v>31</v>
      </c>
      <c r="AB15" s="19" t="s">
        <v>393</v>
      </c>
      <c r="AC15" s="19" t="s">
        <v>31</v>
      </c>
      <c r="AD15" s="19" t="s">
        <v>31</v>
      </c>
      <c r="AE15" s="19" t="s">
        <v>31</v>
      </c>
    </row>
    <row r="16" spans="1:31" x14ac:dyDescent="0.2">
      <c r="A16" s="2" t="s">
        <v>36</v>
      </c>
      <c r="B16" s="2" t="s">
        <v>62</v>
      </c>
      <c r="C16" s="2" t="s">
        <v>14</v>
      </c>
      <c r="D16" s="1">
        <v>0.2</v>
      </c>
      <c r="E16" s="1" t="s">
        <v>49</v>
      </c>
      <c r="F16" s="1">
        <v>1540</v>
      </c>
      <c r="G16" s="1">
        <v>8</v>
      </c>
      <c r="H16" s="2" t="s">
        <v>267</v>
      </c>
      <c r="I16" s="2" t="s">
        <v>27</v>
      </c>
      <c r="J16" s="2" t="s">
        <v>27</v>
      </c>
      <c r="K16" s="2" t="s">
        <v>27</v>
      </c>
      <c r="L16" s="2" t="s">
        <v>289</v>
      </c>
      <c r="M16" s="2" t="s">
        <v>27</v>
      </c>
      <c r="N16" s="2" t="s">
        <v>27</v>
      </c>
      <c r="O16" s="2" t="s">
        <v>27</v>
      </c>
      <c r="P16" s="3">
        <v>5</v>
      </c>
      <c r="Q16" s="3">
        <v>40</v>
      </c>
      <c r="R16" s="7" t="s">
        <v>221</v>
      </c>
      <c r="S16" s="18" t="s">
        <v>333</v>
      </c>
      <c r="T16" s="18" t="s">
        <v>394</v>
      </c>
      <c r="U16" s="18"/>
      <c r="V16" s="19" t="s">
        <v>395</v>
      </c>
      <c r="W16" s="19" t="s">
        <v>14</v>
      </c>
      <c r="X16" s="19" t="s">
        <v>396</v>
      </c>
      <c r="Y16" s="19" t="s">
        <v>31</v>
      </c>
      <c r="Z16" s="19" t="s">
        <v>31</v>
      </c>
      <c r="AA16" s="19" t="s">
        <v>31</v>
      </c>
      <c r="AB16" s="19" t="s">
        <v>397</v>
      </c>
      <c r="AC16" s="19" t="s">
        <v>31</v>
      </c>
      <c r="AD16" s="19" t="s">
        <v>31</v>
      </c>
      <c r="AE16" s="19" t="s">
        <v>31</v>
      </c>
    </row>
    <row r="17" spans="1:31" x14ac:dyDescent="0.2">
      <c r="A17" s="2" t="s">
        <v>36</v>
      </c>
      <c r="B17" s="2" t="s">
        <v>63</v>
      </c>
      <c r="C17" s="2" t="s">
        <v>14</v>
      </c>
      <c r="D17" s="1">
        <v>0.2</v>
      </c>
      <c r="E17" s="1" t="s">
        <v>50</v>
      </c>
      <c r="F17" s="1">
        <v>1541</v>
      </c>
      <c r="G17" s="1">
        <v>8</v>
      </c>
      <c r="H17" s="2" t="s">
        <v>266</v>
      </c>
      <c r="I17" s="2" t="s">
        <v>27</v>
      </c>
      <c r="J17" s="2" t="s">
        <v>27</v>
      </c>
      <c r="K17" s="2" t="s">
        <v>27</v>
      </c>
      <c r="L17" s="2" t="s">
        <v>259</v>
      </c>
      <c r="M17" s="2" t="s">
        <v>27</v>
      </c>
      <c r="N17" s="2" t="s">
        <v>27</v>
      </c>
      <c r="O17" s="2" t="s">
        <v>27</v>
      </c>
      <c r="P17" s="3">
        <v>5</v>
      </c>
      <c r="Q17" s="3">
        <v>40</v>
      </c>
      <c r="R17" s="7" t="s">
        <v>221</v>
      </c>
      <c r="S17" s="18" t="s">
        <v>333</v>
      </c>
      <c r="T17" s="18" t="s">
        <v>398</v>
      </c>
      <c r="U17" s="18"/>
      <c r="V17" s="19" t="s">
        <v>399</v>
      </c>
      <c r="W17" s="19" t="s">
        <v>14</v>
      </c>
      <c r="X17" s="19" t="s">
        <v>400</v>
      </c>
      <c r="Y17" s="19" t="s">
        <v>31</v>
      </c>
      <c r="Z17" s="19" t="s">
        <v>31</v>
      </c>
      <c r="AA17" s="19" t="s">
        <v>31</v>
      </c>
      <c r="AB17" s="19" t="s">
        <v>401</v>
      </c>
      <c r="AC17" s="19" t="s">
        <v>31</v>
      </c>
      <c r="AD17" s="19" t="s">
        <v>31</v>
      </c>
      <c r="AE17" s="19" t="s">
        <v>31</v>
      </c>
    </row>
    <row r="18" spans="1:31" x14ac:dyDescent="0.2">
      <c r="A18" s="2" t="s">
        <v>36</v>
      </c>
      <c r="B18" s="2" t="s">
        <v>64</v>
      </c>
      <c r="C18" s="2" t="s">
        <v>14</v>
      </c>
      <c r="D18" s="1">
        <v>0.2</v>
      </c>
      <c r="E18" s="1" t="s">
        <v>51</v>
      </c>
      <c r="F18" s="1">
        <v>1542</v>
      </c>
      <c r="G18" s="1">
        <v>8</v>
      </c>
      <c r="H18" s="2" t="s">
        <v>265</v>
      </c>
      <c r="I18" s="2" t="s">
        <v>27</v>
      </c>
      <c r="J18" s="2" t="s">
        <v>27</v>
      </c>
      <c r="K18" s="2" t="s">
        <v>27</v>
      </c>
      <c r="L18" s="2" t="s">
        <v>260</v>
      </c>
      <c r="M18" s="2" t="s">
        <v>27</v>
      </c>
      <c r="N18" s="2" t="s">
        <v>27</v>
      </c>
      <c r="O18" s="2" t="s">
        <v>27</v>
      </c>
      <c r="P18" s="3">
        <v>5</v>
      </c>
      <c r="Q18" s="3">
        <v>40</v>
      </c>
      <c r="R18" s="7" t="s">
        <v>221</v>
      </c>
      <c r="S18" s="18" t="s">
        <v>333</v>
      </c>
      <c r="T18" s="18" t="s">
        <v>402</v>
      </c>
      <c r="U18" s="18"/>
      <c r="V18" s="19" t="s">
        <v>403</v>
      </c>
      <c r="W18" s="19" t="s">
        <v>14</v>
      </c>
      <c r="X18" s="19" t="s">
        <v>404</v>
      </c>
      <c r="Y18" s="19" t="s">
        <v>31</v>
      </c>
      <c r="Z18" s="19" t="s">
        <v>31</v>
      </c>
      <c r="AA18" s="19" t="s">
        <v>31</v>
      </c>
      <c r="AB18" s="19" t="s">
        <v>405</v>
      </c>
      <c r="AC18" s="19" t="s">
        <v>31</v>
      </c>
      <c r="AD18" s="19" t="s">
        <v>31</v>
      </c>
      <c r="AE18" s="19" t="s">
        <v>31</v>
      </c>
    </row>
    <row r="19" spans="1:31" x14ac:dyDescent="0.2">
      <c r="A19" s="2" t="s">
        <v>36</v>
      </c>
      <c r="B19" s="2" t="s">
        <v>65</v>
      </c>
      <c r="C19" s="2" t="s">
        <v>14</v>
      </c>
      <c r="D19" s="1">
        <v>0.2</v>
      </c>
      <c r="E19" s="1" t="s">
        <v>52</v>
      </c>
      <c r="F19" s="1">
        <v>1543</v>
      </c>
      <c r="G19" s="1">
        <v>8</v>
      </c>
      <c r="H19" s="2" t="s">
        <v>290</v>
      </c>
      <c r="I19" s="2" t="s">
        <v>27</v>
      </c>
      <c r="J19" s="2" t="s">
        <v>27</v>
      </c>
      <c r="K19" s="2" t="s">
        <v>27</v>
      </c>
      <c r="L19" s="2" t="s">
        <v>291</v>
      </c>
      <c r="M19" s="2" t="s">
        <v>27</v>
      </c>
      <c r="N19" s="2" t="s">
        <v>27</v>
      </c>
      <c r="O19" s="2" t="s">
        <v>27</v>
      </c>
      <c r="P19" s="3">
        <v>5</v>
      </c>
      <c r="Q19" s="3">
        <v>40</v>
      </c>
      <c r="R19" s="7" t="s">
        <v>221</v>
      </c>
      <c r="S19" s="18" t="s">
        <v>333</v>
      </c>
      <c r="T19" s="18" t="s">
        <v>406</v>
      </c>
      <c r="U19" s="18"/>
      <c r="V19" s="19" t="s">
        <v>407</v>
      </c>
      <c r="W19" s="19" t="s">
        <v>14</v>
      </c>
      <c r="X19" s="19" t="s">
        <v>408</v>
      </c>
      <c r="Y19" s="19" t="s">
        <v>31</v>
      </c>
      <c r="Z19" s="19" t="s">
        <v>31</v>
      </c>
      <c r="AA19" s="19" t="s">
        <v>31</v>
      </c>
      <c r="AB19" s="19" t="s">
        <v>409</v>
      </c>
      <c r="AC19" s="19" t="s">
        <v>31</v>
      </c>
      <c r="AD19" s="19" t="s">
        <v>31</v>
      </c>
      <c r="AE19" s="19" t="s">
        <v>31</v>
      </c>
    </row>
    <row r="20" spans="1:31" x14ac:dyDescent="0.2">
      <c r="A20" s="2" t="s">
        <v>36</v>
      </c>
      <c r="B20" s="2" t="s">
        <v>292</v>
      </c>
      <c r="C20" s="2" t="s">
        <v>14</v>
      </c>
      <c r="D20" s="1">
        <v>1</v>
      </c>
      <c r="E20" s="1" t="s">
        <v>53</v>
      </c>
      <c r="F20" s="1">
        <v>1544</v>
      </c>
      <c r="G20" s="1">
        <v>8</v>
      </c>
      <c r="H20" s="2" t="s">
        <v>165</v>
      </c>
      <c r="I20" s="2" t="s">
        <v>27</v>
      </c>
      <c r="J20" s="2" t="s">
        <v>27</v>
      </c>
      <c r="K20" s="2" t="s">
        <v>27</v>
      </c>
      <c r="L20" s="2" t="s">
        <v>261</v>
      </c>
      <c r="M20" s="2" t="s">
        <v>27</v>
      </c>
      <c r="N20" s="2" t="s">
        <v>27</v>
      </c>
      <c r="O20" s="2" t="s">
        <v>27</v>
      </c>
      <c r="P20" s="3">
        <v>1</v>
      </c>
      <c r="Q20" s="3">
        <v>8</v>
      </c>
      <c r="R20" s="7" t="s">
        <v>221</v>
      </c>
      <c r="S20" s="18" t="s">
        <v>333</v>
      </c>
      <c r="T20" s="18" t="s">
        <v>410</v>
      </c>
      <c r="U20" s="18"/>
      <c r="V20" s="19" t="s">
        <v>293</v>
      </c>
      <c r="W20" s="19" t="s">
        <v>14</v>
      </c>
      <c r="X20" s="19" t="s">
        <v>165</v>
      </c>
      <c r="Y20" s="19" t="s">
        <v>31</v>
      </c>
      <c r="Z20" s="19" t="s">
        <v>31</v>
      </c>
      <c r="AA20" s="19" t="s">
        <v>31</v>
      </c>
      <c r="AB20" s="19" t="s">
        <v>411</v>
      </c>
      <c r="AC20" s="19" t="s">
        <v>31</v>
      </c>
      <c r="AD20" s="19" t="s">
        <v>31</v>
      </c>
      <c r="AE20" s="19" t="s">
        <v>31</v>
      </c>
    </row>
    <row r="21" spans="1:31" x14ac:dyDescent="0.2">
      <c r="A21" s="2" t="s">
        <v>36</v>
      </c>
      <c r="B21" s="2" t="s">
        <v>294</v>
      </c>
      <c r="C21" s="2" t="s">
        <v>14</v>
      </c>
      <c r="D21" s="1">
        <v>1</v>
      </c>
      <c r="E21" s="1" t="s">
        <v>54</v>
      </c>
      <c r="F21" s="1">
        <v>1545</v>
      </c>
      <c r="G21" s="1">
        <v>8</v>
      </c>
      <c r="H21" s="2" t="s">
        <v>295</v>
      </c>
      <c r="I21" s="2" t="s">
        <v>27</v>
      </c>
      <c r="J21" s="2" t="s">
        <v>27</v>
      </c>
      <c r="K21" s="2" t="s">
        <v>27</v>
      </c>
      <c r="L21" s="2" t="s">
        <v>296</v>
      </c>
      <c r="M21" s="2" t="s">
        <v>27</v>
      </c>
      <c r="N21" s="2" t="s">
        <v>27</v>
      </c>
      <c r="O21" s="2" t="s">
        <v>27</v>
      </c>
      <c r="P21" s="3">
        <v>1</v>
      </c>
      <c r="Q21" s="3">
        <v>8</v>
      </c>
      <c r="R21" s="7" t="s">
        <v>221</v>
      </c>
      <c r="S21" s="18" t="s">
        <v>333</v>
      </c>
      <c r="T21" s="18" t="s">
        <v>412</v>
      </c>
      <c r="U21" s="18"/>
      <c r="V21" s="19" t="s">
        <v>297</v>
      </c>
      <c r="W21" s="19" t="s">
        <v>14</v>
      </c>
      <c r="X21" s="19" t="s">
        <v>413</v>
      </c>
      <c r="Y21" s="19" t="s">
        <v>31</v>
      </c>
      <c r="Z21" s="19" t="s">
        <v>31</v>
      </c>
      <c r="AA21" s="19" t="s">
        <v>31</v>
      </c>
      <c r="AB21" s="19" t="s">
        <v>414</v>
      </c>
      <c r="AC21" s="19" t="s">
        <v>31</v>
      </c>
      <c r="AD21" s="19" t="s">
        <v>31</v>
      </c>
      <c r="AE21" s="19" t="s">
        <v>31</v>
      </c>
    </row>
    <row r="22" spans="1:31" x14ac:dyDescent="0.2">
      <c r="A22" s="2" t="s">
        <v>35</v>
      </c>
      <c r="B22" s="2" t="s">
        <v>165</v>
      </c>
      <c r="C22" s="2" t="s">
        <v>14</v>
      </c>
      <c r="D22" s="1">
        <v>1</v>
      </c>
      <c r="E22" s="1" t="s">
        <v>55</v>
      </c>
      <c r="F22" s="1">
        <v>1546</v>
      </c>
      <c r="G22" s="1">
        <v>8</v>
      </c>
      <c r="H22" s="2" t="s">
        <v>165</v>
      </c>
      <c r="I22" s="2" t="s">
        <v>27</v>
      </c>
      <c r="J22" s="2" t="s">
        <v>27</v>
      </c>
      <c r="K22" s="2" t="s">
        <v>27</v>
      </c>
      <c r="L22" s="2" t="s">
        <v>165</v>
      </c>
      <c r="M22" s="2" t="s">
        <v>27</v>
      </c>
      <c r="N22" s="2" t="s">
        <v>27</v>
      </c>
      <c r="O22" s="2" t="s">
        <v>27</v>
      </c>
      <c r="P22" s="3">
        <v>1</v>
      </c>
      <c r="Q22" s="3">
        <v>8</v>
      </c>
      <c r="R22" s="7" t="s">
        <v>221</v>
      </c>
      <c r="S22" s="18" t="s">
        <v>333</v>
      </c>
      <c r="T22" s="18" t="s">
        <v>415</v>
      </c>
      <c r="U22" s="18"/>
      <c r="V22" s="19" t="s">
        <v>165</v>
      </c>
      <c r="W22" s="19" t="s">
        <v>14</v>
      </c>
      <c r="X22" s="19" t="s">
        <v>165</v>
      </c>
      <c r="Y22" s="19" t="s">
        <v>31</v>
      </c>
      <c r="Z22" s="19" t="s">
        <v>31</v>
      </c>
      <c r="AA22" s="19" t="s">
        <v>31</v>
      </c>
      <c r="AB22" s="19" t="s">
        <v>165</v>
      </c>
      <c r="AC22" s="19" t="s">
        <v>31</v>
      </c>
      <c r="AD22" s="19" t="s">
        <v>31</v>
      </c>
      <c r="AE22" s="19" t="s">
        <v>31</v>
      </c>
    </row>
    <row r="23" spans="1:31" x14ac:dyDescent="0.2">
      <c r="A23" s="2" t="s">
        <v>36</v>
      </c>
      <c r="B23" s="2" t="s">
        <v>66</v>
      </c>
      <c r="C23" s="2" t="s">
        <v>14</v>
      </c>
      <c r="D23" s="1">
        <v>1</v>
      </c>
      <c r="E23" s="1" t="s">
        <v>56</v>
      </c>
      <c r="F23" s="1">
        <v>1547</v>
      </c>
      <c r="G23" s="1">
        <v>8</v>
      </c>
      <c r="H23" s="2" t="s">
        <v>264</v>
      </c>
      <c r="I23" s="2" t="s">
        <v>27</v>
      </c>
      <c r="J23" s="2" t="s">
        <v>27</v>
      </c>
      <c r="K23" s="2" t="s">
        <v>27</v>
      </c>
      <c r="L23" s="2" t="s">
        <v>262</v>
      </c>
      <c r="M23" s="2" t="s">
        <v>27</v>
      </c>
      <c r="N23" s="2" t="s">
        <v>27</v>
      </c>
      <c r="O23" s="2" t="s">
        <v>27</v>
      </c>
      <c r="P23" s="3">
        <v>1</v>
      </c>
      <c r="Q23" s="3">
        <v>8</v>
      </c>
      <c r="R23" s="7" t="s">
        <v>221</v>
      </c>
      <c r="S23" s="18" t="s">
        <v>333</v>
      </c>
      <c r="T23" s="18" t="s">
        <v>416</v>
      </c>
      <c r="U23" s="18"/>
      <c r="V23" s="19" t="s">
        <v>417</v>
      </c>
      <c r="W23" s="19" t="s">
        <v>14</v>
      </c>
      <c r="X23" s="19" t="s">
        <v>418</v>
      </c>
      <c r="Y23" s="19" t="s">
        <v>31</v>
      </c>
      <c r="Z23" s="19" t="s">
        <v>31</v>
      </c>
      <c r="AA23" s="19" t="s">
        <v>31</v>
      </c>
      <c r="AB23" s="19" t="s">
        <v>419</v>
      </c>
      <c r="AC23" s="19" t="s">
        <v>31</v>
      </c>
      <c r="AD23" s="19" t="s">
        <v>31</v>
      </c>
      <c r="AE23" s="19" t="s">
        <v>31</v>
      </c>
    </row>
    <row r="24" spans="1:31" x14ac:dyDescent="0.2">
      <c r="A24" s="2" t="s">
        <v>36</v>
      </c>
      <c r="B24" s="2" t="s">
        <v>298</v>
      </c>
      <c r="C24" s="2" t="s">
        <v>14</v>
      </c>
      <c r="D24" s="1">
        <v>1</v>
      </c>
      <c r="E24" s="1" t="s">
        <v>57</v>
      </c>
      <c r="F24" s="1">
        <v>1548</v>
      </c>
      <c r="G24" s="1">
        <v>8</v>
      </c>
      <c r="H24" s="2" t="s">
        <v>299</v>
      </c>
      <c r="I24" s="2" t="s">
        <v>27</v>
      </c>
      <c r="J24" s="2" t="s">
        <v>27</v>
      </c>
      <c r="K24" s="2" t="s">
        <v>27</v>
      </c>
      <c r="L24" s="2" t="s">
        <v>165</v>
      </c>
      <c r="M24" s="2" t="s">
        <v>27</v>
      </c>
      <c r="N24" s="2" t="s">
        <v>27</v>
      </c>
      <c r="O24" s="2" t="s">
        <v>27</v>
      </c>
      <c r="P24" s="3">
        <v>1</v>
      </c>
      <c r="Q24" s="3">
        <v>8</v>
      </c>
      <c r="R24" s="7" t="s">
        <v>221</v>
      </c>
      <c r="S24" s="18" t="s">
        <v>333</v>
      </c>
      <c r="T24" s="18" t="s">
        <v>420</v>
      </c>
      <c r="U24" s="18"/>
      <c r="V24" s="19" t="s">
        <v>421</v>
      </c>
      <c r="W24" s="19" t="s">
        <v>14</v>
      </c>
      <c r="X24" s="19" t="s">
        <v>422</v>
      </c>
      <c r="Y24" s="19" t="s">
        <v>31</v>
      </c>
      <c r="Z24" s="19" t="s">
        <v>31</v>
      </c>
      <c r="AA24" s="19" t="s">
        <v>31</v>
      </c>
      <c r="AB24" s="19" t="s">
        <v>165</v>
      </c>
      <c r="AC24" s="19" t="s">
        <v>31</v>
      </c>
      <c r="AD24" s="19" t="s">
        <v>31</v>
      </c>
      <c r="AE24" s="19" t="s">
        <v>31</v>
      </c>
    </row>
    <row r="25" spans="1:31" x14ac:dyDescent="0.2">
      <c r="A25" s="2" t="s">
        <v>35</v>
      </c>
      <c r="B25" s="2" t="s">
        <v>165</v>
      </c>
      <c r="C25" s="2" t="s">
        <v>14</v>
      </c>
      <c r="D25" s="1">
        <v>1</v>
      </c>
      <c r="E25" s="1" t="s">
        <v>58</v>
      </c>
      <c r="F25" s="1">
        <v>1549</v>
      </c>
      <c r="G25" s="1">
        <v>8</v>
      </c>
      <c r="H25" s="2" t="s">
        <v>165</v>
      </c>
      <c r="I25" s="2" t="s">
        <v>27</v>
      </c>
      <c r="J25" s="2" t="s">
        <v>27</v>
      </c>
      <c r="K25" s="2" t="s">
        <v>27</v>
      </c>
      <c r="L25" s="2" t="s">
        <v>165</v>
      </c>
      <c r="M25" s="2" t="s">
        <v>27</v>
      </c>
      <c r="N25" s="2" t="s">
        <v>27</v>
      </c>
      <c r="O25" s="2" t="s">
        <v>27</v>
      </c>
      <c r="P25" s="3">
        <v>1</v>
      </c>
      <c r="Q25" s="3">
        <v>8</v>
      </c>
      <c r="R25" s="7" t="s">
        <v>221</v>
      </c>
      <c r="S25" s="18" t="s">
        <v>333</v>
      </c>
      <c r="T25" s="18" t="s">
        <v>415</v>
      </c>
      <c r="U25" s="18"/>
      <c r="V25" s="19" t="s">
        <v>165</v>
      </c>
      <c r="W25" s="19" t="s">
        <v>14</v>
      </c>
      <c r="X25" s="19" t="s">
        <v>165</v>
      </c>
      <c r="Y25" s="19" t="s">
        <v>31</v>
      </c>
      <c r="Z25" s="19" t="s">
        <v>31</v>
      </c>
      <c r="AA25" s="19" t="s">
        <v>31</v>
      </c>
      <c r="AB25" s="19" t="s">
        <v>165</v>
      </c>
      <c r="AC25" s="19" t="s">
        <v>31</v>
      </c>
      <c r="AD25" s="19" t="s">
        <v>31</v>
      </c>
      <c r="AE25" s="19" t="s">
        <v>31</v>
      </c>
    </row>
    <row r="26" spans="1:31" x14ac:dyDescent="0.2">
      <c r="A26" s="2" t="s">
        <v>36</v>
      </c>
      <c r="B26" s="2" t="s">
        <v>67</v>
      </c>
      <c r="C26" s="2" t="s">
        <v>14</v>
      </c>
      <c r="D26" s="1">
        <v>1</v>
      </c>
      <c r="E26" s="1" t="s">
        <v>59</v>
      </c>
      <c r="F26" s="1">
        <v>1550</v>
      </c>
      <c r="G26" s="1">
        <v>8</v>
      </c>
      <c r="H26" s="2" t="s">
        <v>93</v>
      </c>
      <c r="I26" s="2" t="s">
        <v>27</v>
      </c>
      <c r="J26" s="2" t="s">
        <v>27</v>
      </c>
      <c r="K26" s="2" t="s">
        <v>27</v>
      </c>
      <c r="L26" s="2" t="s">
        <v>263</v>
      </c>
      <c r="M26" s="2" t="s">
        <v>27</v>
      </c>
      <c r="N26" s="2" t="s">
        <v>27</v>
      </c>
      <c r="O26" s="2" t="s">
        <v>27</v>
      </c>
      <c r="P26" s="3">
        <v>1</v>
      </c>
      <c r="Q26" s="3">
        <v>8</v>
      </c>
      <c r="R26" s="7" t="s">
        <v>221</v>
      </c>
      <c r="S26" s="18" t="s">
        <v>333</v>
      </c>
      <c r="T26" s="18" t="s">
        <v>423</v>
      </c>
      <c r="U26" s="18"/>
      <c r="V26" s="19" t="s">
        <v>424</v>
      </c>
      <c r="W26" s="19" t="s">
        <v>14</v>
      </c>
      <c r="X26" s="19" t="s">
        <v>93</v>
      </c>
      <c r="Y26" s="19" t="s">
        <v>31</v>
      </c>
      <c r="Z26" s="19" t="s">
        <v>31</v>
      </c>
      <c r="AA26" s="19" t="s">
        <v>31</v>
      </c>
      <c r="AB26" s="19" t="s">
        <v>425</v>
      </c>
      <c r="AC26" s="19" t="s">
        <v>31</v>
      </c>
      <c r="AD26" s="19" t="s">
        <v>31</v>
      </c>
      <c r="AE26" s="19" t="s">
        <v>31</v>
      </c>
    </row>
    <row r="27" spans="1:31" x14ac:dyDescent="0.2">
      <c r="A27" s="2" t="s">
        <v>36</v>
      </c>
      <c r="B27" s="2" t="s">
        <v>300</v>
      </c>
      <c r="C27" s="2" t="s">
        <v>14</v>
      </c>
      <c r="D27" s="1">
        <v>0.2</v>
      </c>
      <c r="E27" s="1" t="s">
        <v>301</v>
      </c>
      <c r="F27" s="1">
        <v>1559</v>
      </c>
      <c r="G27" s="1">
        <v>8</v>
      </c>
      <c r="H27" s="2" t="s">
        <v>165</v>
      </c>
      <c r="I27" s="2" t="s">
        <v>27</v>
      </c>
      <c r="J27" s="2" t="s">
        <v>27</v>
      </c>
      <c r="K27" s="2" t="s">
        <v>27</v>
      </c>
      <c r="L27" s="2" t="s">
        <v>302</v>
      </c>
      <c r="M27" s="2" t="s">
        <v>27</v>
      </c>
      <c r="N27" s="2" t="s">
        <v>27</v>
      </c>
      <c r="O27" s="2" t="s">
        <v>27</v>
      </c>
      <c r="P27" s="3">
        <v>5</v>
      </c>
      <c r="Q27" s="3">
        <v>40</v>
      </c>
      <c r="R27" s="7" t="s">
        <v>221</v>
      </c>
      <c r="S27" s="18" t="s">
        <v>333</v>
      </c>
      <c r="T27" s="18" t="s">
        <v>426</v>
      </c>
      <c r="U27" s="18"/>
      <c r="V27" s="19" t="s">
        <v>427</v>
      </c>
      <c r="W27" s="19" t="s">
        <v>14</v>
      </c>
      <c r="X27" s="19" t="s">
        <v>165</v>
      </c>
      <c r="Y27" s="19" t="s">
        <v>31</v>
      </c>
      <c r="Z27" s="19" t="s">
        <v>31</v>
      </c>
      <c r="AA27" s="19" t="s">
        <v>31</v>
      </c>
      <c r="AB27" s="19" t="s">
        <v>428</v>
      </c>
      <c r="AC27" s="19" t="s">
        <v>31</v>
      </c>
      <c r="AD27" s="19" t="s">
        <v>31</v>
      </c>
      <c r="AE27" s="19" t="s">
        <v>31</v>
      </c>
    </row>
    <row r="28" spans="1:31" x14ac:dyDescent="0.2">
      <c r="A28" s="2" t="s">
        <v>36</v>
      </c>
      <c r="B28" s="2" t="s">
        <v>460</v>
      </c>
      <c r="C28" s="2" t="s">
        <v>282</v>
      </c>
      <c r="D28" s="1">
        <v>0.104</v>
      </c>
      <c r="E28" s="1" t="s">
        <v>24</v>
      </c>
      <c r="F28" s="1">
        <v>1792</v>
      </c>
      <c r="G28" s="1">
        <v>7</v>
      </c>
      <c r="H28" s="2" t="s">
        <v>28</v>
      </c>
      <c r="I28" s="2" t="s">
        <v>27</v>
      </c>
      <c r="J28" s="2" t="s">
        <v>30</v>
      </c>
      <c r="K28" s="2" t="s">
        <v>27</v>
      </c>
      <c r="L28" s="2" t="s">
        <v>26</v>
      </c>
      <c r="M28" s="2" t="s">
        <v>32</v>
      </c>
      <c r="N28" s="2" t="s">
        <v>27</v>
      </c>
      <c r="P28" s="3">
        <v>9.615384615384615</v>
      </c>
      <c r="Q28" s="3">
        <v>67.307692307692307</v>
      </c>
      <c r="R28" s="8" t="s">
        <v>303</v>
      </c>
      <c r="S28" s="18" t="s">
        <v>305</v>
      </c>
      <c r="T28" s="18" t="s">
        <v>429</v>
      </c>
      <c r="U28" s="18"/>
      <c r="V28" s="19" t="s">
        <v>462</v>
      </c>
      <c r="W28" s="19" t="s">
        <v>282</v>
      </c>
      <c r="X28" s="19" t="s">
        <v>431</v>
      </c>
      <c r="Y28" s="19" t="s">
        <v>31</v>
      </c>
      <c r="Z28" s="19" t="s">
        <v>432</v>
      </c>
      <c r="AA28" s="19" t="s">
        <v>31</v>
      </c>
      <c r="AB28" s="19" t="s">
        <v>433</v>
      </c>
      <c r="AC28" s="19" t="s">
        <v>434</v>
      </c>
      <c r="AD28" s="19" t="s">
        <v>31</v>
      </c>
      <c r="AE28" s="19" t="s">
        <v>358</v>
      </c>
    </row>
    <row r="29" spans="1:31" x14ac:dyDescent="0.2">
      <c r="A29" s="2" t="s">
        <v>36</v>
      </c>
      <c r="B29" s="2" t="s">
        <v>34</v>
      </c>
      <c r="C29" s="2" t="s">
        <v>282</v>
      </c>
      <c r="D29" s="1">
        <v>0.104</v>
      </c>
      <c r="E29" s="1" t="s">
        <v>25</v>
      </c>
      <c r="F29" s="1">
        <v>1793</v>
      </c>
      <c r="G29" s="1">
        <v>7</v>
      </c>
      <c r="H29" s="2" t="s">
        <v>29</v>
      </c>
      <c r="I29" s="2" t="s">
        <v>27</v>
      </c>
      <c r="J29" s="2" t="s">
        <v>304</v>
      </c>
      <c r="K29" s="2" t="s">
        <v>27</v>
      </c>
      <c r="L29" s="2" t="s">
        <v>283</v>
      </c>
      <c r="M29" s="2" t="s">
        <v>284</v>
      </c>
      <c r="N29" s="2" t="s">
        <v>306</v>
      </c>
      <c r="P29" s="3">
        <v>9.615384615384615</v>
      </c>
      <c r="Q29" s="3">
        <v>67.307692307692307</v>
      </c>
      <c r="R29" s="15" t="s">
        <v>307</v>
      </c>
      <c r="S29" s="18" t="s">
        <v>308</v>
      </c>
      <c r="T29" s="18" t="s">
        <v>435</v>
      </c>
      <c r="U29" s="18"/>
      <c r="V29" s="19" t="s">
        <v>436</v>
      </c>
      <c r="W29" s="19" t="s">
        <v>282</v>
      </c>
      <c r="X29" s="19" t="s">
        <v>437</v>
      </c>
      <c r="Y29" s="19" t="s">
        <v>31</v>
      </c>
      <c r="Z29" s="19" t="s">
        <v>304</v>
      </c>
      <c r="AA29" s="19" t="s">
        <v>31</v>
      </c>
      <c r="AB29" s="19" t="s">
        <v>438</v>
      </c>
      <c r="AC29" s="19" t="s">
        <v>439</v>
      </c>
      <c r="AD29" s="19" t="s">
        <v>306</v>
      </c>
      <c r="AE29" s="19" t="s">
        <v>358</v>
      </c>
    </row>
    <row r="30" spans="1:31" x14ac:dyDescent="0.2">
      <c r="A30" s="2" t="s">
        <v>36</v>
      </c>
      <c r="B30" s="2" t="s">
        <v>461</v>
      </c>
      <c r="C30" s="2" t="s">
        <v>282</v>
      </c>
      <c r="D30" s="1">
        <v>0.104</v>
      </c>
      <c r="E30" s="1" t="s">
        <v>309</v>
      </c>
      <c r="F30" s="1">
        <v>1794</v>
      </c>
      <c r="G30" s="1">
        <v>7</v>
      </c>
      <c r="H30" s="2" t="s">
        <v>454</v>
      </c>
      <c r="I30" s="2" t="s">
        <v>27</v>
      </c>
      <c r="J30" s="2" t="s">
        <v>455</v>
      </c>
      <c r="K30" s="2" t="s">
        <v>27</v>
      </c>
      <c r="L30" s="2" t="s">
        <v>456</v>
      </c>
      <c r="M30" s="2" t="s">
        <v>306</v>
      </c>
      <c r="N30" s="2" t="s">
        <v>306</v>
      </c>
      <c r="P30" s="3">
        <v>9.615384615384615</v>
      </c>
      <c r="Q30" s="3">
        <v>67.307692307692307</v>
      </c>
      <c r="R30" s="8" t="s">
        <v>457</v>
      </c>
      <c r="S30" s="18" t="s">
        <v>458</v>
      </c>
      <c r="T30" s="18" t="s">
        <v>459</v>
      </c>
      <c r="U30" s="18"/>
      <c r="V30" s="19" t="s">
        <v>430</v>
      </c>
      <c r="W30" s="19" t="s">
        <v>282</v>
      </c>
      <c r="X30" s="19" t="s">
        <v>454</v>
      </c>
      <c r="Y30" s="19" t="s">
        <v>31</v>
      </c>
      <c r="Z30" s="19" t="s">
        <v>455</v>
      </c>
      <c r="AA30" s="19" t="s">
        <v>31</v>
      </c>
      <c r="AB30" s="19" t="s">
        <v>456</v>
      </c>
      <c r="AC30" s="19" t="s">
        <v>306</v>
      </c>
      <c r="AD30" s="19" t="s">
        <v>306</v>
      </c>
      <c r="AE30" s="19" t="s">
        <v>358</v>
      </c>
    </row>
    <row r="31" spans="1:31" x14ac:dyDescent="0.2">
      <c r="A31" s="2" t="s">
        <v>36</v>
      </c>
      <c r="B31" s="2" t="s">
        <v>171</v>
      </c>
      <c r="C31" s="2" t="s">
        <v>37</v>
      </c>
      <c r="D31" s="1">
        <v>0.5</v>
      </c>
      <c r="E31" s="1" t="s">
        <v>162</v>
      </c>
      <c r="F31" s="1">
        <v>1809</v>
      </c>
      <c r="G31" s="1">
        <v>1</v>
      </c>
      <c r="H31" s="2" t="s">
        <v>306</v>
      </c>
      <c r="I31" s="2" t="s">
        <v>31</v>
      </c>
      <c r="J31" s="2" t="s">
        <v>31</v>
      </c>
      <c r="K31" s="2" t="s">
        <v>31</v>
      </c>
      <c r="L31" s="2" t="s">
        <v>31</v>
      </c>
      <c r="M31" s="2" t="s">
        <v>31</v>
      </c>
      <c r="N31" s="2" t="s">
        <v>31</v>
      </c>
      <c r="O31" s="2" t="s">
        <v>31</v>
      </c>
      <c r="P31" s="2">
        <v>2</v>
      </c>
      <c r="Q31" s="2">
        <v>2</v>
      </c>
      <c r="R31" s="2" t="s">
        <v>244</v>
      </c>
      <c r="S31" s="18" t="s">
        <v>440</v>
      </c>
      <c r="T31" s="18" t="s">
        <v>441</v>
      </c>
      <c r="U31" s="18"/>
      <c r="V31" s="19" t="s">
        <v>442</v>
      </c>
      <c r="W31" s="19" t="s">
        <v>37</v>
      </c>
      <c r="X31" s="19" t="s">
        <v>306</v>
      </c>
      <c r="Y31" s="19" t="s">
        <v>31</v>
      </c>
      <c r="Z31" s="19" t="s">
        <v>31</v>
      </c>
      <c r="AA31" s="19" t="s">
        <v>31</v>
      </c>
      <c r="AB31" s="19" t="s">
        <v>31</v>
      </c>
      <c r="AC31" s="19" t="s">
        <v>31</v>
      </c>
      <c r="AD31" s="19" t="s">
        <v>31</v>
      </c>
      <c r="AE31" s="19" t="s">
        <v>31</v>
      </c>
    </row>
    <row r="32" spans="1:31" x14ac:dyDescent="0.2">
      <c r="A32" s="2" t="s">
        <v>36</v>
      </c>
      <c r="B32" s="2" t="s">
        <v>172</v>
      </c>
      <c r="C32" s="2" t="s">
        <v>37</v>
      </c>
      <c r="D32" s="1">
        <v>0.5</v>
      </c>
      <c r="E32" s="1" t="s">
        <v>163</v>
      </c>
      <c r="F32" s="1">
        <v>1810</v>
      </c>
      <c r="G32" s="1">
        <v>1</v>
      </c>
      <c r="H32" s="2" t="s">
        <v>306</v>
      </c>
      <c r="I32" s="2" t="s">
        <v>31</v>
      </c>
      <c r="J32" s="2" t="s">
        <v>31</v>
      </c>
      <c r="K32" s="2" t="s">
        <v>31</v>
      </c>
      <c r="L32" s="2" t="s">
        <v>31</v>
      </c>
      <c r="M32" s="2" t="s">
        <v>31</v>
      </c>
      <c r="N32" s="2" t="s">
        <v>31</v>
      </c>
      <c r="O32" s="2" t="s">
        <v>31</v>
      </c>
      <c r="P32" s="2">
        <v>2</v>
      </c>
      <c r="Q32" s="2">
        <v>2</v>
      </c>
      <c r="R32" s="2" t="s">
        <v>244</v>
      </c>
      <c r="S32" s="18" t="s">
        <v>440</v>
      </c>
      <c r="T32" s="18" t="s">
        <v>441</v>
      </c>
      <c r="U32" s="18"/>
      <c r="V32" s="19" t="s">
        <v>443</v>
      </c>
      <c r="W32" s="19" t="s">
        <v>37</v>
      </c>
      <c r="X32" s="19" t="s">
        <v>306</v>
      </c>
      <c r="Y32" s="19" t="s">
        <v>31</v>
      </c>
      <c r="Z32" s="19" t="s">
        <v>31</v>
      </c>
      <c r="AA32" s="19" t="s">
        <v>31</v>
      </c>
      <c r="AB32" s="19" t="s">
        <v>31</v>
      </c>
      <c r="AC32" s="19" t="s">
        <v>31</v>
      </c>
      <c r="AD32" s="19" t="s">
        <v>31</v>
      </c>
      <c r="AE32" s="19" t="s">
        <v>31</v>
      </c>
    </row>
    <row r="33" spans="1:36" x14ac:dyDescent="0.2">
      <c r="A33" s="2" t="s">
        <v>36</v>
      </c>
      <c r="B33" s="2" t="s">
        <v>319</v>
      </c>
      <c r="C33" s="2" t="s">
        <v>321</v>
      </c>
      <c r="D33" s="1">
        <v>0.5</v>
      </c>
      <c r="E33" s="1" t="s">
        <v>173</v>
      </c>
      <c r="F33" s="1">
        <v>1905</v>
      </c>
      <c r="G33" s="1">
        <v>7</v>
      </c>
      <c r="H33" s="2" t="s">
        <v>311</v>
      </c>
      <c r="I33" s="2" t="s">
        <v>312</v>
      </c>
      <c r="J33" s="2" t="s">
        <v>310</v>
      </c>
      <c r="K33" s="2" t="s">
        <v>313</v>
      </c>
      <c r="L33" s="2" t="s">
        <v>314</v>
      </c>
      <c r="M33" s="2" t="s">
        <v>315</v>
      </c>
      <c r="N33" s="2" t="s">
        <v>316</v>
      </c>
      <c r="P33" s="3">
        <v>2</v>
      </c>
      <c r="Q33" s="2">
        <v>14</v>
      </c>
      <c r="R33" s="3" t="s">
        <v>317</v>
      </c>
      <c r="S33" s="18" t="s">
        <v>444</v>
      </c>
      <c r="T33" s="18" t="s">
        <v>445</v>
      </c>
      <c r="U33" s="18"/>
      <c r="V33" s="19" t="s">
        <v>319</v>
      </c>
      <c r="W33" s="19" t="s">
        <v>446</v>
      </c>
      <c r="X33" s="19" t="s">
        <v>447</v>
      </c>
      <c r="Y33" s="19" t="s">
        <v>448</v>
      </c>
      <c r="Z33" s="19" t="s">
        <v>449</v>
      </c>
      <c r="AA33" s="19" t="s">
        <v>450</v>
      </c>
      <c r="AB33" s="19" t="s">
        <v>451</v>
      </c>
      <c r="AC33" s="19" t="s">
        <v>452</v>
      </c>
      <c r="AD33" s="19" t="s">
        <v>453</v>
      </c>
      <c r="AE33" s="19" t="s">
        <v>358</v>
      </c>
    </row>
    <row r="34" spans="1:36" x14ac:dyDescent="0.2">
      <c r="A34" s="2" t="s">
        <v>36</v>
      </c>
      <c r="B34" s="2" t="s">
        <v>320</v>
      </c>
      <c r="C34" s="2" t="s">
        <v>321</v>
      </c>
      <c r="D34" s="1">
        <v>0.5</v>
      </c>
      <c r="E34" s="1" t="s">
        <v>174</v>
      </c>
      <c r="F34" s="1">
        <v>1906</v>
      </c>
      <c r="G34" s="1">
        <v>7</v>
      </c>
      <c r="H34" s="2" t="s">
        <v>311</v>
      </c>
      <c r="I34" s="2" t="s">
        <v>312</v>
      </c>
      <c r="J34" s="2" t="s">
        <v>310</v>
      </c>
      <c r="K34" s="2" t="s">
        <v>313</v>
      </c>
      <c r="L34" s="2" t="s">
        <v>314</v>
      </c>
      <c r="M34" s="2" t="s">
        <v>315</v>
      </c>
      <c r="N34" s="2" t="s">
        <v>316</v>
      </c>
      <c r="P34" s="3">
        <v>2</v>
      </c>
      <c r="Q34" s="3">
        <v>14</v>
      </c>
      <c r="R34" s="3" t="s">
        <v>317</v>
      </c>
      <c r="S34" s="18" t="s">
        <v>444</v>
      </c>
      <c r="T34" s="18" t="s">
        <v>445</v>
      </c>
      <c r="U34" s="18"/>
      <c r="V34" s="19" t="s">
        <v>320</v>
      </c>
      <c r="W34" s="19" t="s">
        <v>446</v>
      </c>
      <c r="X34" s="19" t="s">
        <v>447</v>
      </c>
      <c r="Y34" s="19" t="s">
        <v>448</v>
      </c>
      <c r="Z34" s="19" t="s">
        <v>449</v>
      </c>
      <c r="AA34" s="19" t="s">
        <v>450</v>
      </c>
      <c r="AB34" s="19" t="s">
        <v>451</v>
      </c>
      <c r="AC34" s="19" t="s">
        <v>452</v>
      </c>
      <c r="AD34" s="19" t="s">
        <v>453</v>
      </c>
      <c r="AE34" s="19" t="s">
        <v>358</v>
      </c>
    </row>
    <row r="35" spans="1:36" x14ac:dyDescent="0.2">
      <c r="A35" s="2" t="s">
        <v>220</v>
      </c>
      <c r="B35" s="2" t="s">
        <v>226</v>
      </c>
      <c r="P35" s="3"/>
      <c r="Q35" s="3"/>
      <c r="R35" s="8" t="s">
        <v>225</v>
      </c>
    </row>
    <row r="36" spans="1:36" x14ac:dyDescent="0.2">
      <c r="T36" s="2" t="s">
        <v>254</v>
      </c>
      <c r="AH36" s="3">
        <v>2</v>
      </c>
      <c r="AI36" s="3">
        <v>14</v>
      </c>
      <c r="AJ36" s="8"/>
    </row>
    <row r="37" spans="1:36" x14ac:dyDescent="0.2">
      <c r="P37" s="3"/>
      <c r="Q37" s="3"/>
    </row>
    <row r="38" spans="1:36" x14ac:dyDescent="0.2">
      <c r="P38" s="3" t="s">
        <v>358</v>
      </c>
      <c r="Q38" s="3" t="s">
        <v>358</v>
      </c>
    </row>
    <row r="40" spans="1:36" x14ac:dyDescent="0.2">
      <c r="B40" s="2" t="s">
        <v>193</v>
      </c>
      <c r="D40" s="1" t="s">
        <v>318</v>
      </c>
      <c r="H40" s="2" t="s">
        <v>182</v>
      </c>
      <c r="I40" s="2" t="s">
        <v>222</v>
      </c>
    </row>
    <row r="41" spans="1:36" x14ac:dyDescent="0.2">
      <c r="B41" s="2" t="s">
        <v>187</v>
      </c>
      <c r="C41" s="2" t="s">
        <v>37</v>
      </c>
      <c r="E41" s="1" t="s">
        <v>192</v>
      </c>
      <c r="H41" s="12" t="s">
        <v>186</v>
      </c>
    </row>
    <row r="42" spans="1:36" x14ac:dyDescent="0.2">
      <c r="B42" s="2" t="s">
        <v>188</v>
      </c>
      <c r="C42" s="2" t="s">
        <v>37</v>
      </c>
      <c r="E42" s="1" t="s">
        <v>153</v>
      </c>
      <c r="H42" s="12" t="s">
        <v>183</v>
      </c>
    </row>
    <row r="43" spans="1:36" x14ac:dyDescent="0.2">
      <c r="B43" s="2" t="s">
        <v>187</v>
      </c>
      <c r="C43" s="2" t="s">
        <v>189</v>
      </c>
      <c r="E43" s="1" t="s">
        <v>191</v>
      </c>
    </row>
    <row r="44" spans="1:36" x14ac:dyDescent="0.2">
      <c r="B44" s="2" t="s">
        <v>190</v>
      </c>
      <c r="C44" s="2" t="s">
        <v>189</v>
      </c>
      <c r="E44" s="1" t="s">
        <v>42</v>
      </c>
    </row>
    <row r="45" spans="1:36" x14ac:dyDescent="0.2">
      <c r="B45" s="2" t="s">
        <v>194</v>
      </c>
      <c r="C45" s="2" t="s">
        <v>14</v>
      </c>
      <c r="E45" s="1" t="s">
        <v>46</v>
      </c>
    </row>
    <row r="46" spans="1:36" x14ac:dyDescent="0.2">
      <c r="B46" s="2" t="s">
        <v>188</v>
      </c>
      <c r="C46" s="2" t="s">
        <v>14</v>
      </c>
      <c r="E46" s="1" t="s">
        <v>47</v>
      </c>
    </row>
  </sheetData>
  <phoneticPr fontId="2" type="noConversion"/>
  <conditionalFormatting sqref="H37:H38 L37:L38 L8:O9 H9:K9 L11 I10:L10 H39:O1048576 H1:O2 H7:O7 Z36:AG36 H35:O35 I31:O32 O28:O30 K28:K30">
    <cfRule type="containsText" dxfId="57" priority="92" operator="containsText" text="IN USE">
      <formula>NOT(ISERROR(SEARCH("IN USE",H1)))</formula>
    </cfRule>
  </conditionalFormatting>
  <conditionalFormatting sqref="A2:A11 A47:A1048576 B40:B46 A37:A39 A31:A34">
    <cfRule type="containsText" dxfId="56" priority="88" operator="containsText" text="N">
      <formula>NOT(ISERROR(SEARCH("N",A2)))</formula>
    </cfRule>
    <cfRule type="containsText" dxfId="55" priority="90" operator="containsText" text="Y">
      <formula>NOT(ISERROR(SEARCH("Y",A2)))</formula>
    </cfRule>
    <cfRule type="containsText" dxfId="54" priority="91" operator="containsText" text="P">
      <formula>NOT(ISERROR(SEARCH("P",A2)))</formula>
    </cfRule>
  </conditionalFormatting>
  <conditionalFormatting sqref="I38:K38">
    <cfRule type="containsText" dxfId="53" priority="82" operator="containsText" text="IN USE">
      <formula>NOT(ISERROR(SEARCH("IN USE",I38)))</formula>
    </cfRule>
  </conditionalFormatting>
  <conditionalFormatting sqref="I37:K37">
    <cfRule type="containsText" dxfId="52" priority="81" operator="containsText" text="IN USE">
      <formula>NOT(ISERROR(SEARCH("IN USE",I37)))</formula>
    </cfRule>
  </conditionalFormatting>
  <conditionalFormatting sqref="M37:O37">
    <cfRule type="containsText" dxfId="51" priority="80" operator="containsText" text="IN USE">
      <formula>NOT(ISERROR(SEARCH("IN USE",M37)))</formula>
    </cfRule>
  </conditionalFormatting>
  <conditionalFormatting sqref="M38:O38">
    <cfRule type="containsText" dxfId="50" priority="79" operator="containsText" text="IN USE">
      <formula>NOT(ISERROR(SEARCH("IN USE",M38)))</formula>
    </cfRule>
  </conditionalFormatting>
  <conditionalFormatting sqref="A29:A30">
    <cfRule type="containsText" dxfId="49" priority="64" operator="containsText" text="N">
      <formula>NOT(ISERROR(SEARCH("N",A29)))</formula>
    </cfRule>
    <cfRule type="containsText" dxfId="48" priority="65" operator="containsText" text="Y">
      <formula>NOT(ISERROR(SEARCH("Y",A29)))</formula>
    </cfRule>
    <cfRule type="containsText" dxfId="47" priority="66" operator="containsText" text="P">
      <formula>NOT(ISERROR(SEARCH("P",A29)))</formula>
    </cfRule>
  </conditionalFormatting>
  <conditionalFormatting sqref="A28">
    <cfRule type="containsText" dxfId="46" priority="61" operator="containsText" text="N">
      <formula>NOT(ISERROR(SEARCH("N",A28)))</formula>
    </cfRule>
    <cfRule type="containsText" dxfId="45" priority="62" operator="containsText" text="Y">
      <formula>NOT(ISERROR(SEARCH("Y",A28)))</formula>
    </cfRule>
    <cfRule type="containsText" dxfId="44" priority="63" operator="containsText" text="P">
      <formula>NOT(ISERROR(SEARCH("P",A28)))</formula>
    </cfRule>
  </conditionalFormatting>
  <conditionalFormatting sqref="I28">
    <cfRule type="containsText" dxfId="43" priority="52" operator="containsText" text="IN USE">
      <formula>NOT(ISERROR(SEARCH("IN USE",I28)))</formula>
    </cfRule>
  </conditionalFormatting>
  <conditionalFormatting sqref="M28">
    <cfRule type="containsText" dxfId="42" priority="50" operator="containsText" text="IN USE">
      <formula>NOT(ISERROR(SEARCH("IN USE",M28)))</formula>
    </cfRule>
  </conditionalFormatting>
  <conditionalFormatting sqref="M10:O10">
    <cfRule type="containsText" dxfId="41" priority="49" operator="containsText" text="IN USE">
      <formula>NOT(ISERROR(SEARCH("IN USE",M10)))</formula>
    </cfRule>
  </conditionalFormatting>
  <conditionalFormatting sqref="M11:O11">
    <cfRule type="containsText" dxfId="40" priority="48" operator="containsText" text="IN USE">
      <formula>NOT(ISERROR(SEARCH("IN USE",M11)))</formula>
    </cfRule>
  </conditionalFormatting>
  <conditionalFormatting sqref="I3:I6">
    <cfRule type="containsText" dxfId="39" priority="47" operator="containsText" text="IN USE">
      <formula>NOT(ISERROR(SEARCH("IN USE",I3)))</formula>
    </cfRule>
  </conditionalFormatting>
  <conditionalFormatting sqref="J3">
    <cfRule type="containsText" dxfId="38" priority="46" operator="containsText" text="IN USE">
      <formula>NOT(ISERROR(SEARCH("IN USE",J3)))</formula>
    </cfRule>
  </conditionalFormatting>
  <conditionalFormatting sqref="K3">
    <cfRule type="containsText" dxfId="37" priority="45" operator="containsText" text="IN USE">
      <formula>NOT(ISERROR(SEARCH("IN USE",K3)))</formula>
    </cfRule>
  </conditionalFormatting>
  <conditionalFormatting sqref="M3">
    <cfRule type="containsText" dxfId="36" priority="44" operator="containsText" text="IN USE">
      <formula>NOT(ISERROR(SEARCH("IN USE",M3)))</formula>
    </cfRule>
  </conditionalFormatting>
  <conditionalFormatting sqref="N3">
    <cfRule type="containsText" dxfId="35" priority="43" operator="containsText" text="IN USE">
      <formula>NOT(ISERROR(SEARCH("IN USE",N3)))</formula>
    </cfRule>
  </conditionalFormatting>
  <conditionalFormatting sqref="O3">
    <cfRule type="containsText" dxfId="34" priority="42" operator="containsText" text="IN USE">
      <formula>NOT(ISERROR(SEARCH("IN USE",O3)))</formula>
    </cfRule>
  </conditionalFormatting>
  <conditionalFormatting sqref="J4">
    <cfRule type="containsText" dxfId="33" priority="41" operator="containsText" text="IN USE">
      <formula>NOT(ISERROR(SEARCH("IN USE",J4)))</formula>
    </cfRule>
  </conditionalFormatting>
  <conditionalFormatting sqref="K4">
    <cfRule type="containsText" dxfId="32" priority="40" operator="containsText" text="IN USE">
      <formula>NOT(ISERROR(SEARCH("IN USE",K4)))</formula>
    </cfRule>
  </conditionalFormatting>
  <conditionalFormatting sqref="J5">
    <cfRule type="containsText" dxfId="31" priority="39" operator="containsText" text="IN USE">
      <formula>NOT(ISERROR(SEARCH("IN USE",J5)))</formula>
    </cfRule>
  </conditionalFormatting>
  <conditionalFormatting sqref="K5">
    <cfRule type="containsText" dxfId="30" priority="38" operator="containsText" text="IN USE">
      <formula>NOT(ISERROR(SEARCH("IN USE",K5)))</formula>
    </cfRule>
  </conditionalFormatting>
  <conditionalFormatting sqref="J6">
    <cfRule type="containsText" dxfId="29" priority="37" operator="containsText" text="IN USE">
      <formula>NOT(ISERROR(SEARCH("IN USE",J6)))</formula>
    </cfRule>
  </conditionalFormatting>
  <conditionalFormatting sqref="K6">
    <cfRule type="containsText" dxfId="28" priority="36" operator="containsText" text="IN USE">
      <formula>NOT(ISERROR(SEARCH("IN USE",K6)))</formula>
    </cfRule>
  </conditionalFormatting>
  <conditionalFormatting sqref="X1:AE1">
    <cfRule type="containsText" dxfId="27" priority="35" operator="containsText" text="IN USE">
      <formula>NOT(ISERROR(SEARCH("IN USE",X1)))</formula>
    </cfRule>
  </conditionalFormatting>
  <conditionalFormatting sqref="I29:I30">
    <cfRule type="containsText" dxfId="26" priority="34" operator="containsText" text="IN USE">
      <formula>NOT(ISERROR(SEARCH("IN USE",I29)))</formula>
    </cfRule>
  </conditionalFormatting>
  <conditionalFormatting sqref="I14:K25 M12:O12 H12 M14:O26 H26:K26 H17:H25 L12:L26">
    <cfRule type="containsText" dxfId="25" priority="24" operator="containsText" text="IN USE">
      <formula>NOT(ISERROR(SEARCH("IN USE",H12)))</formula>
    </cfRule>
  </conditionalFormatting>
  <conditionalFormatting sqref="A12 A17:A26">
    <cfRule type="containsText" dxfId="24" priority="21" operator="containsText" text="N">
      <formula>NOT(ISERROR(SEARCH("N",A12)))</formula>
    </cfRule>
    <cfRule type="containsText" dxfId="23" priority="22" operator="containsText" text="Y">
      <formula>NOT(ISERROR(SEARCH("Y",A12)))</formula>
    </cfRule>
    <cfRule type="containsText" dxfId="22" priority="23" operator="containsText" text="P">
      <formula>NOT(ISERROR(SEARCH("P",A12)))</formula>
    </cfRule>
  </conditionalFormatting>
  <conditionalFormatting sqref="I12:I13 J12:K12">
    <cfRule type="containsText" dxfId="21" priority="20" operator="containsText" text="IN USE">
      <formula>NOT(ISERROR(SEARCH("IN USE",I12)))</formula>
    </cfRule>
  </conditionalFormatting>
  <conditionalFormatting sqref="K13">
    <cfRule type="containsText" dxfId="20" priority="19" operator="containsText" text="IN USE">
      <formula>NOT(ISERROR(SEARCH("IN USE",K13)))</formula>
    </cfRule>
  </conditionalFormatting>
  <conditionalFormatting sqref="M13">
    <cfRule type="containsText" dxfId="19" priority="18" operator="containsText" text="IN USE">
      <formula>NOT(ISERROR(SEARCH("IN USE",M13)))</formula>
    </cfRule>
  </conditionalFormatting>
  <conditionalFormatting sqref="A13:A15">
    <cfRule type="containsText" dxfId="18" priority="15" operator="containsText" text="N">
      <formula>NOT(ISERROR(SEARCH("N",A13)))</formula>
    </cfRule>
    <cfRule type="containsText" dxfId="17" priority="16" operator="containsText" text="Y">
      <formula>NOT(ISERROR(SEARCH("Y",A13)))</formula>
    </cfRule>
    <cfRule type="containsText" dxfId="16" priority="17" operator="containsText" text="P">
      <formula>NOT(ISERROR(SEARCH("P",A13)))</formula>
    </cfRule>
  </conditionalFormatting>
  <conditionalFormatting sqref="A16">
    <cfRule type="containsText" dxfId="15" priority="12" operator="containsText" text="N">
      <formula>NOT(ISERROR(SEARCH("N",A16)))</formula>
    </cfRule>
    <cfRule type="containsText" dxfId="14" priority="13" operator="containsText" text="Y">
      <formula>NOT(ISERROR(SEARCH("Y",A16)))</formula>
    </cfRule>
    <cfRule type="containsText" dxfId="13" priority="14" operator="containsText" text="P">
      <formula>NOT(ISERROR(SEARCH("P",A16)))</formula>
    </cfRule>
  </conditionalFormatting>
  <conditionalFormatting sqref="B22">
    <cfRule type="containsText" dxfId="12" priority="11" operator="containsText" text="IN USE">
      <formula>NOT(ISERROR(SEARCH("IN USE",B22)))</formula>
    </cfRule>
  </conditionalFormatting>
  <conditionalFormatting sqref="H27:L27">
    <cfRule type="containsText" dxfId="11" priority="10" operator="containsText" text="IN USE">
      <formula>NOT(ISERROR(SEARCH("IN USE",H27)))</formula>
    </cfRule>
  </conditionalFormatting>
  <conditionalFormatting sqref="A27">
    <cfRule type="containsText" dxfId="10" priority="7" operator="containsText" text="N">
      <formula>NOT(ISERROR(SEARCH("N",A27)))</formula>
    </cfRule>
    <cfRule type="containsText" dxfId="9" priority="8" operator="containsText" text="Y">
      <formula>NOT(ISERROR(SEARCH("Y",A27)))</formula>
    </cfRule>
    <cfRule type="containsText" dxfId="8" priority="9" operator="containsText" text="P">
      <formula>NOT(ISERROR(SEARCH("P",A27)))</formula>
    </cfRule>
  </conditionalFormatting>
  <conditionalFormatting sqref="M27">
    <cfRule type="containsText" dxfId="7" priority="6" operator="containsText" text="IN USE">
      <formula>NOT(ISERROR(SEARCH("IN USE",M27)))</formula>
    </cfRule>
  </conditionalFormatting>
  <conditionalFormatting sqref="N27">
    <cfRule type="containsText" dxfId="6" priority="5" operator="containsText" text="IN USE">
      <formula>NOT(ISERROR(SEARCH("IN USE",N27)))</formula>
    </cfRule>
  </conditionalFormatting>
  <conditionalFormatting sqref="O27">
    <cfRule type="containsText" dxfId="5" priority="4" operator="containsText" text="IN USE">
      <formula>NOT(ISERROR(SEARCH("IN USE",O27)))</formula>
    </cfRule>
  </conditionalFormatting>
  <conditionalFormatting sqref="J29:J30">
    <cfRule type="containsText" dxfId="4" priority="3" operator="containsText" text="IN USE">
      <formula>NOT(ISERROR(SEARCH("IN USE",J29)))</formula>
    </cfRule>
  </conditionalFormatting>
  <conditionalFormatting sqref="N28">
    <cfRule type="containsText" dxfId="3" priority="2" operator="containsText" text="IN USE">
      <formula>NOT(ISERROR(SEARCH("IN USE",N28)))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D8AEA-C51B-4B94-A871-1AD9CD0C68DB}">
  <sheetPr codeName="Sheet2"/>
  <dimension ref="A1:F9"/>
  <sheetViews>
    <sheetView workbookViewId="0">
      <selection activeCell="F7" sqref="F7"/>
    </sheetView>
  </sheetViews>
  <sheetFormatPr baseColWidth="10" defaultColWidth="8.83203125" defaultRowHeight="16" x14ac:dyDescent="0.2"/>
  <cols>
    <col min="3" max="3" width="12.1640625" customWidth="1"/>
    <col min="4" max="4" width="10.1640625" customWidth="1"/>
  </cols>
  <sheetData>
    <row r="1" spans="1:6" x14ac:dyDescent="0.2">
      <c r="A1" t="s">
        <v>99</v>
      </c>
      <c r="B1" t="s">
        <v>233</v>
      </c>
      <c r="C1" t="s">
        <v>234</v>
      </c>
      <c r="D1" t="s">
        <v>235</v>
      </c>
    </row>
    <row r="2" spans="1:6" x14ac:dyDescent="0.2">
      <c r="A2" t="s">
        <v>231</v>
      </c>
      <c r="B2" t="s">
        <v>231</v>
      </c>
      <c r="C2" t="s">
        <v>248</v>
      </c>
      <c r="D2">
        <v>4</v>
      </c>
    </row>
    <row r="3" spans="1:6" x14ac:dyDescent="0.2">
      <c r="A3" t="s">
        <v>103</v>
      </c>
      <c r="B3" t="s">
        <v>103</v>
      </c>
      <c r="C3" t="s">
        <v>132</v>
      </c>
      <c r="D3">
        <v>1</v>
      </c>
    </row>
    <row r="4" spans="1:6" x14ac:dyDescent="0.2">
      <c r="A4" t="s">
        <v>244</v>
      </c>
      <c r="B4" t="s">
        <v>245</v>
      </c>
      <c r="C4" t="s">
        <v>131</v>
      </c>
      <c r="D4">
        <v>1</v>
      </c>
    </row>
    <row r="5" spans="1:6" x14ac:dyDescent="0.2">
      <c r="A5" t="s">
        <v>232</v>
      </c>
      <c r="B5" t="s">
        <v>97</v>
      </c>
      <c r="C5" t="s">
        <v>125</v>
      </c>
      <c r="D5">
        <v>1</v>
      </c>
    </row>
    <row r="6" spans="1:6" x14ac:dyDescent="0.2">
      <c r="A6" t="s">
        <v>246</v>
      </c>
      <c r="B6" t="s">
        <v>247</v>
      </c>
      <c r="C6" t="s">
        <v>250</v>
      </c>
      <c r="D6">
        <v>2</v>
      </c>
    </row>
    <row r="7" spans="1:6" x14ac:dyDescent="0.2">
      <c r="A7" t="s">
        <v>236</v>
      </c>
      <c r="B7" t="s">
        <v>101</v>
      </c>
      <c r="C7" t="s">
        <v>251</v>
      </c>
      <c r="D7">
        <v>2</v>
      </c>
    </row>
    <row r="8" spans="1:6" x14ac:dyDescent="0.2">
      <c r="A8" t="s">
        <v>240</v>
      </c>
      <c r="B8" t="s">
        <v>241</v>
      </c>
      <c r="C8" t="s">
        <v>249</v>
      </c>
      <c r="D8">
        <v>4</v>
      </c>
    </row>
    <row r="9" spans="1:6" x14ac:dyDescent="0.2">
      <c r="A9" t="s">
        <v>242</v>
      </c>
      <c r="B9" t="s">
        <v>243</v>
      </c>
      <c r="C9" t="s">
        <v>252</v>
      </c>
      <c r="D9">
        <v>4</v>
      </c>
      <c r="F9" t="str">
        <f>VLOOKUP("uint8",A:D,2, FALSE)</f>
        <v>uint8_t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80EED-17CF-1143-8B6A-E219B6120FC2}">
  <sheetPr codeName="Sheet3"/>
  <dimension ref="A1:G49"/>
  <sheetViews>
    <sheetView workbookViewId="0">
      <pane ySplit="1" topLeftCell="A5" activePane="bottomLeft" state="frozen"/>
      <selection pane="bottomLeft" activeCell="F3" sqref="F3"/>
    </sheetView>
  </sheetViews>
  <sheetFormatPr baseColWidth="10" defaultColWidth="11.1640625" defaultRowHeight="16" x14ac:dyDescent="0.2"/>
  <cols>
    <col min="2" max="2" width="15.6640625" bestFit="1" customWidth="1"/>
  </cols>
  <sheetData>
    <row r="1" spans="1:7" x14ac:dyDescent="0.2">
      <c r="A1" s="10" t="s">
        <v>11</v>
      </c>
      <c r="B1" s="10" t="s">
        <v>98</v>
      </c>
      <c r="C1" s="10" t="s">
        <v>99</v>
      </c>
      <c r="D1" s="10" t="s">
        <v>100</v>
      </c>
      <c r="E1" s="10" t="s">
        <v>129</v>
      </c>
      <c r="F1" s="10" t="s">
        <v>123</v>
      </c>
    </row>
    <row r="2" spans="1:7" x14ac:dyDescent="0.2">
      <c r="A2" t="s">
        <v>135</v>
      </c>
      <c r="B2" t="s">
        <v>16</v>
      </c>
      <c r="C2" t="s">
        <v>97</v>
      </c>
      <c r="D2">
        <v>1</v>
      </c>
      <c r="F2" t="s">
        <v>124</v>
      </c>
      <c r="G2" t="s">
        <v>130</v>
      </c>
    </row>
    <row r="3" spans="1:7" x14ac:dyDescent="0.2">
      <c r="A3" t="s">
        <v>135</v>
      </c>
      <c r="B3" t="s">
        <v>17</v>
      </c>
      <c r="C3" t="s">
        <v>97</v>
      </c>
      <c r="D3">
        <v>1</v>
      </c>
      <c r="F3" t="s">
        <v>124</v>
      </c>
      <c r="G3" t="s">
        <v>130</v>
      </c>
    </row>
    <row r="4" spans="1:7" x14ac:dyDescent="0.2">
      <c r="A4" t="s">
        <v>135</v>
      </c>
      <c r="B4" t="s">
        <v>18</v>
      </c>
      <c r="C4" t="s">
        <v>97</v>
      </c>
      <c r="D4">
        <v>1</v>
      </c>
      <c r="F4" t="s">
        <v>124</v>
      </c>
      <c r="G4" t="s">
        <v>130</v>
      </c>
    </row>
    <row r="5" spans="1:7" x14ac:dyDescent="0.2">
      <c r="A5" t="s">
        <v>135</v>
      </c>
      <c r="B5" t="s">
        <v>19</v>
      </c>
      <c r="C5" t="s">
        <v>101</v>
      </c>
      <c r="D5">
        <v>2</v>
      </c>
      <c r="E5" t="s">
        <v>35</v>
      </c>
    </row>
    <row r="6" spans="1:7" x14ac:dyDescent="0.2">
      <c r="A6" t="s">
        <v>135</v>
      </c>
      <c r="B6" t="s">
        <v>22</v>
      </c>
      <c r="C6" t="s">
        <v>97</v>
      </c>
      <c r="D6">
        <v>1</v>
      </c>
      <c r="F6" t="s">
        <v>124</v>
      </c>
      <c r="G6" t="s">
        <v>130</v>
      </c>
    </row>
    <row r="7" spans="1:7" x14ac:dyDescent="0.2">
      <c r="A7" t="s">
        <v>135</v>
      </c>
      <c r="B7" t="s">
        <v>21</v>
      </c>
      <c r="C7" t="s">
        <v>97</v>
      </c>
      <c r="D7">
        <v>1</v>
      </c>
      <c r="F7" t="s">
        <v>124</v>
      </c>
      <c r="G7" t="s">
        <v>130</v>
      </c>
    </row>
    <row r="8" spans="1:7" x14ac:dyDescent="0.2">
      <c r="A8" t="s">
        <v>135</v>
      </c>
      <c r="B8" t="s">
        <v>20</v>
      </c>
      <c r="C8" t="s">
        <v>97</v>
      </c>
      <c r="D8">
        <v>1</v>
      </c>
      <c r="F8" t="s">
        <v>124</v>
      </c>
      <c r="G8" t="s">
        <v>130</v>
      </c>
    </row>
    <row r="9" spans="1:7" x14ac:dyDescent="0.2">
      <c r="A9" t="s">
        <v>135</v>
      </c>
      <c r="B9" t="s">
        <v>136</v>
      </c>
      <c r="C9" t="s">
        <v>102</v>
      </c>
      <c r="D9">
        <v>4</v>
      </c>
      <c r="F9" t="s">
        <v>125</v>
      </c>
      <c r="G9" t="s">
        <v>131</v>
      </c>
    </row>
    <row r="10" spans="1:7" x14ac:dyDescent="0.2">
      <c r="A10" t="s">
        <v>135</v>
      </c>
      <c r="B10" t="s">
        <v>137</v>
      </c>
      <c r="C10" t="s">
        <v>103</v>
      </c>
      <c r="D10">
        <v>1</v>
      </c>
      <c r="F10" t="s">
        <v>125</v>
      </c>
      <c r="G10" t="s">
        <v>133</v>
      </c>
    </row>
    <row r="11" spans="1:7" x14ac:dyDescent="0.2">
      <c r="A11" t="s">
        <v>135</v>
      </c>
      <c r="B11" t="s">
        <v>138</v>
      </c>
      <c r="C11" t="s">
        <v>102</v>
      </c>
      <c r="D11">
        <v>4</v>
      </c>
      <c r="F11" t="s">
        <v>126</v>
      </c>
      <c r="G11" t="s">
        <v>131</v>
      </c>
    </row>
    <row r="12" spans="1:7" x14ac:dyDescent="0.2">
      <c r="A12" t="s">
        <v>135</v>
      </c>
      <c r="B12" t="s">
        <v>139</v>
      </c>
      <c r="C12" t="s">
        <v>103</v>
      </c>
      <c r="D12">
        <v>1</v>
      </c>
      <c r="F12" t="s">
        <v>126</v>
      </c>
      <c r="G12" t="s">
        <v>133</v>
      </c>
    </row>
    <row r="13" spans="1:7" x14ac:dyDescent="0.2">
      <c r="A13" t="s">
        <v>135</v>
      </c>
      <c r="B13" t="s">
        <v>23</v>
      </c>
      <c r="C13" t="s">
        <v>104</v>
      </c>
      <c r="D13">
        <v>1</v>
      </c>
      <c r="F13" t="s">
        <v>124</v>
      </c>
      <c r="G13" t="s">
        <v>130</v>
      </c>
    </row>
    <row r="14" spans="1:7" x14ac:dyDescent="0.2">
      <c r="A14" t="s">
        <v>135</v>
      </c>
      <c r="B14" t="s">
        <v>140</v>
      </c>
      <c r="C14" t="s">
        <v>97</v>
      </c>
      <c r="D14">
        <v>1</v>
      </c>
      <c r="F14" t="s">
        <v>124</v>
      </c>
      <c r="G14" t="s">
        <v>130</v>
      </c>
    </row>
    <row r="15" spans="1:7" x14ac:dyDescent="0.2">
      <c r="A15" t="s">
        <v>135</v>
      </c>
      <c r="B15" t="s">
        <v>141</v>
      </c>
      <c r="C15" t="s">
        <v>102</v>
      </c>
      <c r="D15">
        <v>4</v>
      </c>
      <c r="F15" t="s">
        <v>127</v>
      </c>
      <c r="G15" t="s">
        <v>132</v>
      </c>
    </row>
    <row r="16" spans="1:7" x14ac:dyDescent="0.2">
      <c r="A16" t="s">
        <v>135</v>
      </c>
      <c r="B16" t="s">
        <v>142</v>
      </c>
      <c r="C16" t="s">
        <v>102</v>
      </c>
      <c r="D16">
        <v>4</v>
      </c>
      <c r="F16" t="s">
        <v>127</v>
      </c>
      <c r="G16" t="s">
        <v>132</v>
      </c>
    </row>
    <row r="17" spans="1:7" x14ac:dyDescent="0.2">
      <c r="A17" t="s">
        <v>135</v>
      </c>
      <c r="B17" t="s">
        <v>143</v>
      </c>
      <c r="C17" t="s">
        <v>102</v>
      </c>
      <c r="D17">
        <v>4</v>
      </c>
      <c r="F17" t="s">
        <v>128</v>
      </c>
      <c r="G17" t="s">
        <v>133</v>
      </c>
    </row>
    <row r="18" spans="1:7" x14ac:dyDescent="0.2">
      <c r="A18" t="s">
        <v>135</v>
      </c>
      <c r="B18" t="s">
        <v>144</v>
      </c>
      <c r="C18" t="s">
        <v>97</v>
      </c>
      <c r="D18">
        <v>1</v>
      </c>
      <c r="F18" t="s">
        <v>128</v>
      </c>
      <c r="G18" t="s">
        <v>133</v>
      </c>
    </row>
    <row r="19" spans="1:7" x14ac:dyDescent="0.2">
      <c r="A19" t="s">
        <v>145</v>
      </c>
      <c r="B19" s="2" t="s">
        <v>94</v>
      </c>
      <c r="C19" t="s">
        <v>151</v>
      </c>
      <c r="D19">
        <v>4</v>
      </c>
    </row>
    <row r="20" spans="1:7" x14ac:dyDescent="0.2">
      <c r="A20" t="s">
        <v>145</v>
      </c>
      <c r="B20" t="s">
        <v>95</v>
      </c>
      <c r="C20" t="s">
        <v>148</v>
      </c>
      <c r="D20">
        <v>4</v>
      </c>
    </row>
    <row r="21" spans="1:7" x14ac:dyDescent="0.2">
      <c r="A21" t="s">
        <v>145</v>
      </c>
      <c r="B21" t="s">
        <v>146</v>
      </c>
      <c r="C21" t="s">
        <v>150</v>
      </c>
      <c r="D21">
        <v>2</v>
      </c>
    </row>
    <row r="22" spans="1:7" x14ac:dyDescent="0.2">
      <c r="A22" t="s">
        <v>145</v>
      </c>
      <c r="B22" t="s">
        <v>147</v>
      </c>
      <c r="C22" t="s">
        <v>150</v>
      </c>
      <c r="D22">
        <v>2</v>
      </c>
    </row>
    <row r="23" spans="1:7" x14ac:dyDescent="0.2">
      <c r="A23" t="s">
        <v>145</v>
      </c>
      <c r="B23" t="s">
        <v>149</v>
      </c>
      <c r="C23" t="s">
        <v>150</v>
      </c>
      <c r="D23">
        <v>2</v>
      </c>
    </row>
    <row r="24" spans="1:7" x14ac:dyDescent="0.2">
      <c r="A24" t="s">
        <v>145</v>
      </c>
      <c r="B24" s="2" t="s">
        <v>68</v>
      </c>
      <c r="C24" t="s">
        <v>134</v>
      </c>
      <c r="D24">
        <v>4</v>
      </c>
    </row>
    <row r="25" spans="1:7" x14ac:dyDescent="0.2">
      <c r="A25" t="s">
        <v>145</v>
      </c>
      <c r="B25" s="2" t="s">
        <v>69</v>
      </c>
      <c r="C25" t="s">
        <v>134</v>
      </c>
      <c r="D25">
        <v>4</v>
      </c>
    </row>
    <row r="26" spans="1:7" x14ac:dyDescent="0.2">
      <c r="A26" t="s">
        <v>145</v>
      </c>
      <c r="B26" s="2" t="s">
        <v>70</v>
      </c>
      <c r="C26" t="s">
        <v>134</v>
      </c>
      <c r="D26">
        <v>4</v>
      </c>
    </row>
    <row r="27" spans="1:7" x14ac:dyDescent="0.2">
      <c r="A27" t="s">
        <v>145</v>
      </c>
      <c r="B27" s="2" t="s">
        <v>71</v>
      </c>
      <c r="C27" t="s">
        <v>134</v>
      </c>
      <c r="D27">
        <v>4</v>
      </c>
    </row>
    <row r="28" spans="1:7" x14ac:dyDescent="0.2">
      <c r="A28" t="s">
        <v>145</v>
      </c>
      <c r="B28" s="2" t="s">
        <v>72</v>
      </c>
      <c r="C28" t="s">
        <v>134</v>
      </c>
      <c r="D28">
        <v>4</v>
      </c>
    </row>
    <row r="29" spans="1:7" x14ac:dyDescent="0.2">
      <c r="A29" t="s">
        <v>145</v>
      </c>
      <c r="B29" s="2" t="s">
        <v>73</v>
      </c>
      <c r="C29" t="s">
        <v>134</v>
      </c>
      <c r="D29">
        <v>4</v>
      </c>
    </row>
    <row r="30" spans="1:7" x14ac:dyDescent="0.2">
      <c r="A30" t="s">
        <v>145</v>
      </c>
      <c r="B30" s="2" t="s">
        <v>74</v>
      </c>
      <c r="C30" t="s">
        <v>134</v>
      </c>
      <c r="D30">
        <v>4</v>
      </c>
    </row>
    <row r="31" spans="1:7" x14ac:dyDescent="0.2">
      <c r="A31" t="s">
        <v>145</v>
      </c>
      <c r="B31" s="2" t="s">
        <v>75</v>
      </c>
      <c r="C31" t="s">
        <v>134</v>
      </c>
      <c r="D31">
        <v>4</v>
      </c>
    </row>
    <row r="32" spans="1:7" x14ac:dyDescent="0.2">
      <c r="A32" t="s">
        <v>145</v>
      </c>
      <c r="B32" s="2" t="s">
        <v>76</v>
      </c>
      <c r="C32" t="s">
        <v>134</v>
      </c>
      <c r="D32">
        <v>4</v>
      </c>
    </row>
    <row r="33" spans="1:4" x14ac:dyDescent="0.2">
      <c r="A33" t="s">
        <v>145</v>
      </c>
      <c r="B33" s="2" t="s">
        <v>77</v>
      </c>
      <c r="C33" t="s">
        <v>134</v>
      </c>
      <c r="D33">
        <v>4</v>
      </c>
    </row>
    <row r="34" spans="1:4" x14ac:dyDescent="0.2">
      <c r="A34" t="s">
        <v>145</v>
      </c>
      <c r="B34" s="2" t="s">
        <v>78</v>
      </c>
      <c r="C34" t="s">
        <v>134</v>
      </c>
      <c r="D34">
        <v>4</v>
      </c>
    </row>
    <row r="35" spans="1:4" x14ac:dyDescent="0.2">
      <c r="A35" t="s">
        <v>145</v>
      </c>
      <c r="B35" s="2" t="s">
        <v>79</v>
      </c>
      <c r="C35" t="s">
        <v>134</v>
      </c>
      <c r="D35">
        <v>4</v>
      </c>
    </row>
    <row r="36" spans="1:4" x14ac:dyDescent="0.2">
      <c r="A36" t="s">
        <v>145</v>
      </c>
      <c r="B36" s="2" t="s">
        <v>80</v>
      </c>
      <c r="C36" t="s">
        <v>134</v>
      </c>
      <c r="D36">
        <v>4</v>
      </c>
    </row>
    <row r="37" spans="1:4" x14ac:dyDescent="0.2">
      <c r="A37" t="s">
        <v>145</v>
      </c>
      <c r="B37" s="2" t="s">
        <v>81</v>
      </c>
      <c r="C37" t="s">
        <v>134</v>
      </c>
      <c r="D37">
        <v>4</v>
      </c>
    </row>
    <row r="38" spans="1:4" x14ac:dyDescent="0.2">
      <c r="A38" t="s">
        <v>145</v>
      </c>
      <c r="B38" s="2" t="s">
        <v>82</v>
      </c>
      <c r="C38" t="s">
        <v>134</v>
      </c>
      <c r="D38">
        <v>4</v>
      </c>
    </row>
    <row r="39" spans="1:4" x14ac:dyDescent="0.2">
      <c r="A39" t="s">
        <v>145</v>
      </c>
      <c r="B39" s="2" t="s">
        <v>83</v>
      </c>
      <c r="C39" t="s">
        <v>134</v>
      </c>
      <c r="D39">
        <v>4</v>
      </c>
    </row>
    <row r="40" spans="1:4" x14ac:dyDescent="0.2">
      <c r="A40" t="s">
        <v>145</v>
      </c>
      <c r="B40" s="2" t="s">
        <v>84</v>
      </c>
      <c r="C40" t="s">
        <v>134</v>
      </c>
      <c r="D40">
        <v>4</v>
      </c>
    </row>
    <row r="41" spans="1:4" x14ac:dyDescent="0.2">
      <c r="A41" t="s">
        <v>145</v>
      </c>
      <c r="B41" s="2" t="s">
        <v>85</v>
      </c>
      <c r="C41" t="s">
        <v>134</v>
      </c>
      <c r="D41">
        <v>4</v>
      </c>
    </row>
    <row r="42" spans="1:4" x14ac:dyDescent="0.2">
      <c r="A42" t="s">
        <v>145</v>
      </c>
      <c r="B42" s="2" t="s">
        <v>86</v>
      </c>
      <c r="C42" t="s">
        <v>134</v>
      </c>
      <c r="D42">
        <v>4</v>
      </c>
    </row>
    <row r="43" spans="1:4" x14ac:dyDescent="0.2">
      <c r="A43" t="s">
        <v>145</v>
      </c>
      <c r="B43" s="2" t="s">
        <v>87</v>
      </c>
      <c r="C43" t="s">
        <v>134</v>
      </c>
      <c r="D43">
        <v>4</v>
      </c>
    </row>
    <row r="44" spans="1:4" x14ac:dyDescent="0.2">
      <c r="A44" t="s">
        <v>145</v>
      </c>
      <c r="B44" s="2" t="s">
        <v>88</v>
      </c>
      <c r="C44" t="s">
        <v>134</v>
      </c>
      <c r="D44">
        <v>4</v>
      </c>
    </row>
    <row r="45" spans="1:4" x14ac:dyDescent="0.2">
      <c r="A45" t="s">
        <v>145</v>
      </c>
      <c r="B45" s="2" t="s">
        <v>89</v>
      </c>
      <c r="C45" t="s">
        <v>134</v>
      </c>
      <c r="D45">
        <v>4</v>
      </c>
    </row>
    <row r="46" spans="1:4" x14ac:dyDescent="0.2">
      <c r="A46" t="s">
        <v>145</v>
      </c>
      <c r="B46" s="2" t="s">
        <v>90</v>
      </c>
      <c r="C46" t="s">
        <v>134</v>
      </c>
      <c r="D46">
        <v>4</v>
      </c>
    </row>
    <row r="47" spans="1:4" x14ac:dyDescent="0.2">
      <c r="A47" t="s">
        <v>145</v>
      </c>
      <c r="B47" s="2" t="s">
        <v>91</v>
      </c>
      <c r="C47" t="s">
        <v>134</v>
      </c>
      <c r="D47">
        <v>4</v>
      </c>
    </row>
    <row r="48" spans="1:4" x14ac:dyDescent="0.2">
      <c r="A48" t="s">
        <v>145</v>
      </c>
      <c r="B48" s="2" t="s">
        <v>92</v>
      </c>
      <c r="C48" t="s">
        <v>134</v>
      </c>
      <c r="D48">
        <v>4</v>
      </c>
    </row>
    <row r="49" spans="1:4" x14ac:dyDescent="0.2">
      <c r="A49" t="s">
        <v>145</v>
      </c>
      <c r="B49" s="2" t="s">
        <v>93</v>
      </c>
      <c r="C49" t="s">
        <v>134</v>
      </c>
      <c r="D49">
        <v>4</v>
      </c>
    </row>
  </sheetData>
  <phoneticPr fontId="2" type="noConversion"/>
  <conditionalFormatting sqref="B31 B33:B49">
    <cfRule type="containsText" dxfId="2" priority="3" operator="containsText" text="IN USE">
      <formula>NOT(ISERROR(SEARCH("IN USE",B31)))</formula>
    </cfRule>
  </conditionalFormatting>
  <conditionalFormatting sqref="B30">
    <cfRule type="containsText" dxfId="1" priority="2" operator="containsText" text="IN USE">
      <formula>NOT(ISERROR(SEARCH("IN USE",B30)))</formula>
    </cfRule>
  </conditionalFormatting>
  <conditionalFormatting sqref="B19">
    <cfRule type="containsText" dxfId="0" priority="1" operator="containsText" text="IN USE">
      <formula>NOT(ISERROR(SEARCH("IN USE",B19)))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5FF2A-AC6E-E645-8B2A-97CDC5AB8507}">
  <sheetPr codeName="Sheet4"/>
  <dimension ref="B2:C21"/>
  <sheetViews>
    <sheetView workbookViewId="0">
      <selection activeCell="C10" sqref="C10"/>
    </sheetView>
  </sheetViews>
  <sheetFormatPr baseColWidth="10" defaultColWidth="11.1640625" defaultRowHeight="16" x14ac:dyDescent="0.2"/>
  <sheetData>
    <row r="2" spans="2:3" x14ac:dyDescent="0.2">
      <c r="B2" s="9" t="s">
        <v>105</v>
      </c>
    </row>
    <row r="3" spans="2:3" x14ac:dyDescent="0.2">
      <c r="B3" s="9" t="s">
        <v>106</v>
      </c>
    </row>
    <row r="4" spans="2:3" x14ac:dyDescent="0.2">
      <c r="B4" s="9" t="s">
        <v>107</v>
      </c>
    </row>
    <row r="5" spans="2:3" x14ac:dyDescent="0.2">
      <c r="B5" s="11" t="s">
        <v>108</v>
      </c>
    </row>
    <row r="6" spans="2:3" x14ac:dyDescent="0.2">
      <c r="C6" s="6" t="s">
        <v>109</v>
      </c>
    </row>
    <row r="8" spans="2:3" x14ac:dyDescent="0.2">
      <c r="B8" t="s">
        <v>110</v>
      </c>
    </row>
    <row r="10" spans="2:3" x14ac:dyDescent="0.2">
      <c r="C10" s="7" t="s">
        <v>111</v>
      </c>
    </row>
    <row r="11" spans="2:3" x14ac:dyDescent="0.2">
      <c r="B11" s="9"/>
      <c r="C11" s="7" t="s">
        <v>112</v>
      </c>
    </row>
    <row r="12" spans="2:3" x14ac:dyDescent="0.2">
      <c r="B12" s="9"/>
      <c r="C12" s="7" t="s">
        <v>113</v>
      </c>
    </row>
    <row r="13" spans="2:3" x14ac:dyDescent="0.2">
      <c r="B13" s="9"/>
      <c r="C13" s="7" t="s">
        <v>114</v>
      </c>
    </row>
    <row r="14" spans="2:3" x14ac:dyDescent="0.2">
      <c r="B14" s="9"/>
      <c r="C14" s="7" t="s">
        <v>115</v>
      </c>
    </row>
    <row r="15" spans="2:3" x14ac:dyDescent="0.2">
      <c r="B15" s="9"/>
      <c r="C15" s="7" t="s">
        <v>116</v>
      </c>
    </row>
    <row r="16" spans="2:3" x14ac:dyDescent="0.2">
      <c r="B16" s="9"/>
      <c r="C16" s="7" t="s">
        <v>117</v>
      </c>
    </row>
    <row r="17" spans="2:3" x14ac:dyDescent="0.2">
      <c r="B17" s="9"/>
      <c r="C17" s="7" t="s">
        <v>118</v>
      </c>
    </row>
    <row r="18" spans="2:3" x14ac:dyDescent="0.2">
      <c r="B18" s="9"/>
      <c r="C18" s="7" t="s">
        <v>119</v>
      </c>
    </row>
    <row r="19" spans="2:3" x14ac:dyDescent="0.2">
      <c r="B19" s="9"/>
      <c r="C19" s="7" t="s">
        <v>120</v>
      </c>
    </row>
    <row r="20" spans="2:3" x14ac:dyDescent="0.2">
      <c r="B20" s="9"/>
      <c r="C20" s="7" t="s">
        <v>121</v>
      </c>
    </row>
    <row r="21" spans="2:3" x14ac:dyDescent="0.2">
      <c r="B21" s="9"/>
      <c r="C21" s="7" t="s">
        <v>122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CAN Data</vt:lpstr>
      <vt:lpstr>DataTypes</vt:lpstr>
      <vt:lpstr>Data Types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DHAWAN, SAAHIL K. (Student)</cp:lastModifiedBy>
  <dcterms:created xsi:type="dcterms:W3CDTF">2020-11-20T17:40:49Z</dcterms:created>
  <dcterms:modified xsi:type="dcterms:W3CDTF">2024-05-25T19:47:05Z</dcterms:modified>
</cp:coreProperties>
</file>